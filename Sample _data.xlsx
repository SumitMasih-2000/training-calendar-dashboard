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https://grcgt-my.sharepoint.com/personal/shalini_kumari1_in_gt_com/Documents/Desktop/"/>
    </mc:Choice>
  </mc:AlternateContent>
  <xr:revisionPtr revIDLastSave="2" documentId="8_{49F0C528-A1F3-4E4F-A54C-8A6194EA5060}" xr6:coauthVersionLast="47" xr6:coauthVersionMax="47" xr10:uidLastSave="{22B2CCCD-4A32-449C-98ED-1904B3467A63}"/>
  <bookViews>
    <workbookView xWindow="-110" yWindow="-110" windowWidth="19420" windowHeight="10300" xr2:uid="{EC0C2627-767C-47DE-95F5-4D587AA6B366}"/>
  </bookViews>
  <sheets>
    <sheet name="Dataset" sheetId="1" r:id="rId1"/>
    <sheet name="Pivot Table" sheetId="3" state="hidden" r:id="rId2"/>
  </sheets>
  <definedNames>
    <definedName name="_xlnm._FilterDatabase" localSheetId="0" hidden="1">Dataset!$A$1:$O$51</definedName>
    <definedName name="_xlchart.v1.0" hidden="1">'Pivot Table'!$C$4:$C$7</definedName>
    <definedName name="_xlchart.v1.1" hidden="1">'Pivot Table'!$D$3</definedName>
    <definedName name="_xlchart.v1.2" hidden="1">'Pivot Table'!$D$4:$D$7</definedName>
    <definedName name="Slicer_Courses__Name_of_the_paper">#N/A</definedName>
    <definedName name="Slicer_Program">#N/A</definedName>
    <definedName name="Slicer_University">#N/A</definedName>
    <definedName name="Slicer_Weekly__Blocked">#N/A</definedName>
  </definedNames>
  <calcPr calcId="191029"/>
  <pivotCaches>
    <pivotCache cacheId="0" r:id="rId3"/>
    <pivotCache cacheId="1"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3" l="1"/>
  <c r="C4" i="3"/>
  <c r="D4" i="3"/>
  <c r="C5" i="3"/>
  <c r="D5" i="3"/>
  <c r="C6" i="3"/>
  <c r="D6" i="3"/>
  <c r="D3" i="3"/>
  <c r="C3" i="3"/>
  <c r="O51" i="1"/>
  <c r="N51" i="1"/>
  <c r="O50" i="1"/>
  <c r="N50" i="1"/>
  <c r="O49" i="1"/>
  <c r="N49" i="1"/>
  <c r="O48" i="1"/>
  <c r="N48" i="1"/>
  <c r="O47" i="1"/>
  <c r="N47" i="1"/>
  <c r="O46" i="1"/>
  <c r="N46" i="1"/>
  <c r="O45" i="1"/>
  <c r="N45" i="1"/>
  <c r="O44" i="1"/>
  <c r="N44" i="1"/>
  <c r="O43" i="1"/>
  <c r="N43" i="1"/>
  <c r="O42" i="1"/>
  <c r="N42" i="1"/>
  <c r="O41" i="1"/>
  <c r="N41" i="1"/>
  <c r="O40" i="1"/>
  <c r="N40" i="1"/>
  <c r="O39" i="1"/>
  <c r="N39" i="1"/>
  <c r="O38" i="1"/>
  <c r="N38" i="1"/>
  <c r="O37" i="1"/>
  <c r="N37" i="1"/>
  <c r="O36" i="1"/>
  <c r="N36" i="1"/>
  <c r="O35" i="1"/>
  <c r="N35" i="1"/>
  <c r="O34" i="1"/>
  <c r="N34" i="1"/>
  <c r="O33" i="1"/>
  <c r="N33" i="1"/>
  <c r="O32" i="1"/>
  <c r="N32" i="1"/>
  <c r="O31" i="1"/>
  <c r="N31" i="1"/>
  <c r="O30" i="1"/>
  <c r="N30" i="1"/>
  <c r="O29" i="1"/>
  <c r="N29" i="1"/>
  <c r="O28" i="1"/>
  <c r="N28" i="1"/>
  <c r="O27" i="1"/>
  <c r="N27" i="1"/>
  <c r="O26" i="1"/>
  <c r="N26" i="1"/>
  <c r="O25" i="1"/>
  <c r="N25" i="1"/>
  <c r="O24" i="1"/>
  <c r="N24" i="1"/>
  <c r="O23" i="1"/>
  <c r="N23" i="1"/>
  <c r="O22" i="1"/>
  <c r="N22" i="1"/>
  <c r="O21" i="1"/>
  <c r="N21" i="1"/>
  <c r="O20" i="1"/>
  <c r="N20" i="1"/>
  <c r="O19" i="1"/>
  <c r="N19" i="1"/>
  <c r="O18" i="1"/>
  <c r="N18" i="1"/>
  <c r="O17" i="1"/>
  <c r="N17" i="1"/>
  <c r="O16" i="1"/>
  <c r="N16" i="1"/>
  <c r="O15" i="1"/>
  <c r="N15" i="1"/>
  <c r="O14" i="1"/>
  <c r="N14" i="1"/>
  <c r="O13" i="1"/>
  <c r="N13" i="1"/>
  <c r="O12" i="1"/>
  <c r="N12" i="1"/>
  <c r="O11" i="1"/>
  <c r="N11" i="1"/>
  <c r="O10" i="1"/>
  <c r="N10" i="1"/>
  <c r="O9" i="1"/>
  <c r="N9" i="1"/>
  <c r="O8" i="1"/>
  <c r="N8" i="1"/>
  <c r="O7" i="1"/>
  <c r="N7" i="1"/>
  <c r="O6" i="1"/>
  <c r="N6" i="1"/>
  <c r="O5" i="1"/>
  <c r="N5" i="1"/>
  <c r="O4" i="1"/>
  <c r="N4" i="1"/>
  <c r="O3" i="1"/>
  <c r="N3" i="1"/>
  <c r="O2" i="1"/>
  <c r="N2" i="1"/>
  <c r="H51" i="1" a="1"/>
  <c r="H51" i="1" s="1"/>
  <c r="J51" i="1" s="1"/>
  <c r="I51" i="1" s="1"/>
  <c r="K51" i="1" s="1"/>
  <c r="H50" i="1" a="1"/>
  <c r="H50" i="1" s="1"/>
  <c r="J50" i="1" s="1"/>
  <c r="I50" i="1" s="1"/>
  <c r="K50" i="1" s="1"/>
  <c r="H49" i="1" a="1"/>
  <c r="H49" i="1" s="1"/>
  <c r="J49" i="1" s="1"/>
  <c r="I49" i="1" s="1"/>
  <c r="K49" i="1" s="1"/>
  <c r="H48" i="1" a="1"/>
  <c r="H48" i="1" s="1"/>
  <c r="J48" i="1" s="1"/>
  <c r="I48" i="1" s="1"/>
  <c r="K48" i="1" s="1"/>
  <c r="H47" i="1" a="1"/>
  <c r="H47" i="1" s="1"/>
  <c r="J47" i="1" s="1"/>
  <c r="I47" i="1" s="1"/>
  <c r="K47" i="1" s="1"/>
  <c r="H46" i="1" a="1"/>
  <c r="H46" i="1" s="1"/>
  <c r="J46" i="1" s="1"/>
  <c r="I46" i="1" s="1"/>
  <c r="K46" i="1" s="1"/>
  <c r="H45" i="1" a="1"/>
  <c r="H45" i="1" s="1"/>
  <c r="J45" i="1" s="1"/>
  <c r="I45" i="1" s="1"/>
  <c r="K45" i="1" s="1"/>
  <c r="H44" i="1" a="1"/>
  <c r="H44" i="1" s="1"/>
  <c r="J44" i="1" s="1"/>
  <c r="I44" i="1" s="1"/>
  <c r="K44" i="1" s="1"/>
  <c r="H43" i="1" a="1"/>
  <c r="H43" i="1" s="1"/>
  <c r="J43" i="1" s="1"/>
  <c r="I43" i="1" s="1"/>
  <c r="K43" i="1" s="1"/>
  <c r="H42" i="1" a="1"/>
  <c r="H42" i="1" s="1"/>
  <c r="J42" i="1" s="1"/>
  <c r="I42" i="1" s="1"/>
  <c r="K42" i="1" s="1"/>
  <c r="H41" i="1" a="1"/>
  <c r="H41" i="1" s="1"/>
  <c r="J41" i="1" s="1"/>
  <c r="I41" i="1" s="1"/>
  <c r="K41" i="1" s="1"/>
  <c r="H40" i="1" a="1"/>
  <c r="H40" i="1" s="1"/>
  <c r="J40" i="1" s="1"/>
  <c r="I40" i="1" s="1"/>
  <c r="K40" i="1" s="1"/>
  <c r="H39" i="1" a="1"/>
  <c r="H39" i="1" s="1"/>
  <c r="J39" i="1" s="1"/>
  <c r="I39" i="1" s="1"/>
  <c r="K39" i="1" s="1"/>
  <c r="H38" i="1" a="1"/>
  <c r="H38" i="1" s="1"/>
  <c r="J38" i="1" s="1"/>
  <c r="I38" i="1" s="1"/>
  <c r="K38" i="1" s="1"/>
  <c r="H37" i="1" a="1"/>
  <c r="H37" i="1" s="1"/>
  <c r="J37" i="1" s="1"/>
  <c r="I37" i="1" s="1"/>
  <c r="K37" i="1" s="1"/>
  <c r="H36" i="1" a="1"/>
  <c r="H36" i="1" s="1"/>
  <c r="J36" i="1" s="1"/>
  <c r="I36" i="1" s="1"/>
  <c r="K36" i="1" s="1"/>
  <c r="H35" i="1" a="1"/>
  <c r="H35" i="1" s="1"/>
  <c r="J35" i="1" s="1"/>
  <c r="I35" i="1" s="1"/>
  <c r="K35" i="1" s="1"/>
  <c r="H34" i="1" a="1"/>
  <c r="H34" i="1" s="1"/>
  <c r="J34" i="1" s="1"/>
  <c r="I34" i="1" s="1"/>
  <c r="K34" i="1" s="1"/>
  <c r="H33" i="1" a="1"/>
  <c r="H33" i="1" s="1"/>
  <c r="J33" i="1" s="1"/>
  <c r="I33" i="1" s="1"/>
  <c r="K33" i="1" s="1"/>
  <c r="H32" i="1" a="1"/>
  <c r="H32" i="1" s="1"/>
  <c r="J32" i="1" s="1"/>
  <c r="I32" i="1" s="1"/>
  <c r="K32" i="1" s="1"/>
  <c r="H31" i="1" a="1"/>
  <c r="H31" i="1" s="1"/>
  <c r="J31" i="1" s="1"/>
  <c r="I31" i="1" s="1"/>
  <c r="K31" i="1" s="1"/>
  <c r="H30" i="1" a="1"/>
  <c r="H30" i="1" s="1"/>
  <c r="J30" i="1" s="1"/>
  <c r="I30" i="1" s="1"/>
  <c r="K30" i="1" s="1"/>
  <c r="H29" i="1" a="1"/>
  <c r="H29" i="1" s="1"/>
  <c r="J29" i="1" s="1"/>
  <c r="I29" i="1" s="1"/>
  <c r="K29" i="1" s="1"/>
  <c r="H28" i="1" a="1"/>
  <c r="H28" i="1" s="1"/>
  <c r="J28" i="1" s="1"/>
  <c r="I28" i="1" s="1"/>
  <c r="K28" i="1" s="1"/>
  <c r="H27" i="1" a="1"/>
  <c r="H27" i="1" s="1"/>
  <c r="J27" i="1" s="1"/>
  <c r="I27" i="1" s="1"/>
  <c r="K27" i="1" s="1"/>
  <c r="H26" i="1" a="1"/>
  <c r="H26" i="1" s="1"/>
  <c r="J26" i="1" s="1"/>
  <c r="I26" i="1" s="1"/>
  <c r="K26" i="1" s="1"/>
  <c r="H25" i="1" a="1"/>
  <c r="H25" i="1" s="1"/>
  <c r="J25" i="1" s="1"/>
  <c r="I25" i="1" s="1"/>
  <c r="K25" i="1" s="1"/>
  <c r="H24" i="1" a="1"/>
  <c r="H24" i="1" s="1"/>
  <c r="J24" i="1" s="1"/>
  <c r="I24" i="1" s="1"/>
  <c r="K24" i="1" s="1"/>
  <c r="H23" i="1" a="1"/>
  <c r="H23" i="1" s="1"/>
  <c r="J23" i="1" s="1"/>
  <c r="I23" i="1" s="1"/>
  <c r="K23" i="1" s="1"/>
  <c r="H22" i="1" a="1"/>
  <c r="H22" i="1" s="1"/>
  <c r="J22" i="1" s="1"/>
  <c r="I22" i="1" s="1"/>
  <c r="K22" i="1" s="1"/>
  <c r="H21" i="1" a="1"/>
  <c r="H21" i="1" s="1"/>
  <c r="J21" i="1" s="1"/>
  <c r="I21" i="1" s="1"/>
  <c r="K21" i="1" s="1"/>
  <c r="H20" i="1" a="1"/>
  <c r="H20" i="1" s="1"/>
  <c r="J20" i="1" s="1"/>
  <c r="I20" i="1" s="1"/>
  <c r="K20" i="1" s="1"/>
  <c r="H19" i="1" a="1"/>
  <c r="H19" i="1" s="1"/>
  <c r="J19" i="1" s="1"/>
  <c r="I19" i="1" s="1"/>
  <c r="K19" i="1" s="1"/>
  <c r="H18" i="1" a="1"/>
  <c r="H18" i="1" s="1"/>
  <c r="J18" i="1" s="1"/>
  <c r="I18" i="1" s="1"/>
  <c r="K18" i="1" s="1"/>
  <c r="H17" i="1" a="1"/>
  <c r="H17" i="1" s="1"/>
  <c r="J17" i="1" s="1"/>
  <c r="I17" i="1" s="1"/>
  <c r="K17" i="1" s="1"/>
  <c r="H16" i="1" a="1"/>
  <c r="H16" i="1" s="1"/>
  <c r="J16" i="1" s="1"/>
  <c r="I16" i="1" s="1"/>
  <c r="K16" i="1" s="1"/>
  <c r="H15" i="1" a="1"/>
  <c r="H15" i="1" s="1"/>
  <c r="J15" i="1" s="1"/>
  <c r="I15" i="1" s="1"/>
  <c r="K15" i="1" s="1"/>
  <c r="H14" i="1" a="1"/>
  <c r="H14" i="1" s="1"/>
  <c r="J14" i="1" s="1"/>
  <c r="I14" i="1" s="1"/>
  <c r="K14" i="1" s="1"/>
  <c r="H13" i="1" a="1"/>
  <c r="H13" i="1" s="1"/>
  <c r="J13" i="1" s="1"/>
  <c r="I13" i="1" s="1"/>
  <c r="K13" i="1" s="1"/>
  <c r="H12" i="1" a="1"/>
  <c r="H12" i="1" s="1"/>
  <c r="J12" i="1" s="1"/>
  <c r="I12" i="1" s="1"/>
  <c r="K12" i="1" s="1"/>
  <c r="H11" i="1" a="1"/>
  <c r="H11" i="1" s="1"/>
  <c r="J11" i="1" s="1"/>
  <c r="I11" i="1" s="1"/>
  <c r="K11" i="1" s="1"/>
  <c r="H10" i="1" a="1"/>
  <c r="H10" i="1" s="1"/>
  <c r="J10" i="1" s="1"/>
  <c r="I10" i="1" s="1"/>
  <c r="K10" i="1" s="1"/>
  <c r="H9" i="1" a="1"/>
  <c r="H9" i="1" s="1"/>
  <c r="J9" i="1" s="1"/>
  <c r="I9" i="1" s="1"/>
  <c r="K9" i="1" s="1"/>
  <c r="H8" i="1" a="1"/>
  <c r="H8" i="1" s="1"/>
  <c r="J8" i="1" s="1"/>
  <c r="I8" i="1" s="1"/>
  <c r="K8" i="1" s="1"/>
  <c r="H7" i="1" a="1"/>
  <c r="H7" i="1" s="1"/>
  <c r="J7" i="1" s="1"/>
  <c r="I7" i="1" s="1"/>
  <c r="K7" i="1" s="1"/>
  <c r="H6" i="1" a="1"/>
  <c r="H6" i="1" s="1"/>
  <c r="J6" i="1" s="1"/>
  <c r="I6" i="1" s="1"/>
  <c r="K6" i="1" s="1"/>
  <c r="H5" i="1" a="1"/>
  <c r="H5" i="1" s="1"/>
  <c r="J5" i="1" s="1"/>
  <c r="I5" i="1" s="1"/>
  <c r="K5" i="1" s="1"/>
  <c r="H4" i="1" a="1"/>
  <c r="H4" i="1" s="1"/>
  <c r="J4" i="1" s="1"/>
  <c r="I4" i="1" s="1"/>
  <c r="K4" i="1" s="1"/>
  <c r="H3" i="1" a="1"/>
  <c r="H3" i="1" s="1"/>
  <c r="J3" i="1" s="1"/>
  <c r="I3" i="1" s="1"/>
  <c r="K3" i="1" s="1"/>
  <c r="H2" i="1" a="1"/>
  <c r="H2" i="1" s="1"/>
  <c r="J2" i="1" s="1"/>
  <c r="L2" i="1" s="1"/>
  <c r="M2" i="1" s="1"/>
  <c r="C16" i="3"/>
  <c r="D7" i="3"/>
  <c r="A11" i="3"/>
  <c r="C28" i="3"/>
  <c r="L13" i="1" l="1"/>
  <c r="M13" i="1" s="1"/>
  <c r="L16" i="1"/>
  <c r="M16" i="1" s="1"/>
  <c r="L22" i="1"/>
  <c r="M22" i="1" s="1"/>
  <c r="L24" i="1"/>
  <c r="M24" i="1" s="1"/>
  <c r="I2" i="1"/>
  <c r="K2" i="1" s="1"/>
  <c r="L25" i="1"/>
  <c r="M25" i="1" s="1"/>
  <c r="L28" i="1"/>
  <c r="M28" i="1" s="1"/>
  <c r="L34" i="1"/>
  <c r="M34" i="1" s="1"/>
  <c r="L36" i="1"/>
  <c r="M36" i="1" s="1"/>
  <c r="L37" i="1"/>
  <c r="M37" i="1" s="1"/>
  <c r="L4" i="1"/>
  <c r="M4" i="1" s="1"/>
  <c r="L40" i="1"/>
  <c r="M40" i="1" s="1"/>
  <c r="L10" i="1"/>
  <c r="M10" i="1" s="1"/>
  <c r="L46" i="1"/>
  <c r="M46" i="1" s="1"/>
  <c r="L12" i="1"/>
  <c r="M12" i="1" s="1"/>
  <c r="L48" i="1"/>
  <c r="M48" i="1" s="1"/>
  <c r="L49" i="1"/>
  <c r="M49" i="1" s="1"/>
  <c r="L6" i="1"/>
  <c r="M6" i="1" s="1"/>
  <c r="L18" i="1"/>
  <c r="M18" i="1" s="1"/>
  <c r="L30" i="1"/>
  <c r="M30" i="1" s="1"/>
  <c r="L42" i="1"/>
  <c r="M42" i="1" s="1"/>
  <c r="L7" i="1"/>
  <c r="M7" i="1" s="1"/>
  <c r="L19" i="1"/>
  <c r="M19" i="1" s="1"/>
  <c r="L31" i="1"/>
  <c r="M31" i="1" s="1"/>
  <c r="L43" i="1"/>
  <c r="M43" i="1" s="1"/>
  <c r="L8" i="1"/>
  <c r="M8" i="1" s="1"/>
  <c r="L20" i="1"/>
  <c r="M20" i="1" s="1"/>
  <c r="L32" i="1"/>
  <c r="M32" i="1" s="1"/>
  <c r="L44" i="1"/>
  <c r="M44" i="1" s="1"/>
  <c r="L9" i="1"/>
  <c r="M9" i="1" s="1"/>
  <c r="L21" i="1"/>
  <c r="M21" i="1" s="1"/>
  <c r="L33" i="1"/>
  <c r="M33" i="1" s="1"/>
  <c r="L45" i="1"/>
  <c r="M45" i="1" s="1"/>
  <c r="L11" i="1"/>
  <c r="M11" i="1" s="1"/>
  <c r="L23" i="1"/>
  <c r="M23" i="1" s="1"/>
  <c r="L35" i="1"/>
  <c r="M35" i="1" s="1"/>
  <c r="L47" i="1"/>
  <c r="M47" i="1" s="1"/>
  <c r="L14" i="1"/>
  <c r="M14" i="1" s="1"/>
  <c r="L26" i="1"/>
  <c r="M26" i="1" s="1"/>
  <c r="L38" i="1"/>
  <c r="M38" i="1" s="1"/>
  <c r="L50" i="1"/>
  <c r="M50" i="1" s="1"/>
  <c r="L3" i="1"/>
  <c r="M3" i="1" s="1"/>
  <c r="L15" i="1"/>
  <c r="M15" i="1" s="1"/>
  <c r="L27" i="1"/>
  <c r="M27" i="1" s="1"/>
  <c r="L39" i="1"/>
  <c r="M39" i="1" s="1"/>
  <c r="L51" i="1"/>
  <c r="M51" i="1" s="1"/>
  <c r="L5" i="1"/>
  <c r="M5" i="1" s="1"/>
  <c r="L17" i="1"/>
  <c r="M17" i="1" s="1"/>
  <c r="L29" i="1"/>
  <c r="M29" i="1" s="1"/>
  <c r="L41" i="1"/>
  <c r="M41"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Kamal Khatter</author>
  </authors>
  <commentList>
    <comment ref="I2" authorId="0" shapeId="0" xr:uid="{2F98D7E5-B621-4C8C-A554-0BD516269FC2}">
      <text>
        <r>
          <rPr>
            <sz val="11"/>
            <color theme="1"/>
            <rFont val="Aptos Narrow"/>
            <family val="2"/>
            <scheme val="minor"/>
          </rPr>
          <t xml:space="preserve">Kamal Khatter:
Batch 24-25 - 
DBMS starts in 25th May
Batch 25-26
DBMS - Date to be decided
</t>
        </r>
      </text>
    </comment>
    <comment ref="I5" authorId="0" shapeId="0" xr:uid="{47DE7A5E-870C-4FCC-BE57-2BE7D47F3C7B}">
      <text>
        <r>
          <rPr>
            <sz val="11"/>
            <color theme="1"/>
            <rFont val="Aptos Narrow"/>
            <family val="2"/>
            <scheme val="minor"/>
          </rPr>
          <t xml:space="preserve">Kamal Khatter:
Batch 24-25 - Advanced Analytics
Batch 25-26 - Python Programming
</t>
        </r>
      </text>
    </comment>
    <comment ref="I7" authorId="0" shapeId="0" xr:uid="{DBA7E635-83B4-4841-B8F2-7EEC77C43DEC}">
      <text>
        <r>
          <rPr>
            <sz val="11"/>
            <color theme="1"/>
            <rFont val="Aptos Narrow"/>
            <family val="2"/>
            <scheme val="minor"/>
          </rPr>
          <t>Kamal Khatter:
Core financial Principles</t>
        </r>
      </text>
    </comment>
    <comment ref="I8" authorId="0" shapeId="0" xr:uid="{C065DD22-7C85-414B-8972-A47F29938F80}">
      <text>
        <r>
          <rPr>
            <sz val="11"/>
            <color theme="1"/>
            <rFont val="Aptos Narrow"/>
            <family val="2"/>
            <scheme val="minor"/>
          </rPr>
          <t xml:space="preserve">Kamal Khatter:
Corporate and Competitive strategy
</t>
        </r>
      </text>
    </comment>
    <comment ref="I9" authorId="0" shapeId="0" xr:uid="{B39E7EF5-7415-432E-9066-0EE31BA96D8F}">
      <text>
        <r>
          <rPr>
            <sz val="11"/>
            <color theme="1"/>
            <rFont val="Aptos Narrow"/>
            <family val="2"/>
            <scheme val="minor"/>
          </rPr>
          <t>Kamal Khatter:
1. Introduction to Fintech &amp; GenAI fundamentals
2. Python Programming Fundamentals</t>
        </r>
      </text>
    </comment>
    <comment ref="I10" authorId="0" shapeId="0" xr:uid="{9BC29AC0-062C-4B29-B363-99F90420324F}">
      <text>
        <r>
          <rPr>
            <sz val="11"/>
            <color theme="1"/>
            <rFont val="Aptos Narrow"/>
            <family val="2"/>
            <scheme val="minor"/>
          </rPr>
          <t>Kamal Khatter:
1. Introduction to Fintech &amp; GenAI fundamentals
2. Python Programming Fundamentals</t>
        </r>
      </text>
    </comment>
    <comment ref="I11" authorId="0" shapeId="0" xr:uid="{CD8CDB60-37D3-4BF0-AA57-ADE903BA86E4}">
      <text>
        <r>
          <rPr>
            <sz val="11"/>
            <color theme="1"/>
            <rFont val="Aptos Narrow"/>
            <family val="2"/>
            <scheme val="minor"/>
          </rPr>
          <t xml:space="preserve">Kamal Khatter:
FA &amp; FR combined
</t>
        </r>
      </text>
    </comment>
    <comment ref="I12" authorId="0" shapeId="0" xr:uid="{75067EBB-843A-4825-8275-B28D7BCAB533}">
      <text>
        <r>
          <rPr>
            <sz val="11"/>
            <color theme="1"/>
            <rFont val="Aptos Narrow"/>
            <family val="2"/>
            <scheme val="minor"/>
          </rPr>
          <t>Kamal Khatter:
1. Fraud Evaluation &amp; Forensic Accounting.
2. Financial Accounting &amp; Forensic Audit.</t>
        </r>
      </text>
    </comment>
    <comment ref="I15" authorId="0" shapeId="0" xr:uid="{D8F116CB-A0D3-46F4-90AE-BD56DD62793C}">
      <text>
        <r>
          <rPr>
            <sz val="11"/>
            <color theme="1"/>
            <rFont val="Aptos Narrow"/>
            <family val="2"/>
            <scheme val="minor"/>
          </rPr>
          <t>Kamal Khatter:
FA &amp; FR</t>
        </r>
      </text>
    </comment>
    <comment ref="I16" authorId="0" shapeId="0" xr:uid="{74F8E160-1266-4E94-9038-FCF66B4363F5}">
      <text>
        <r>
          <rPr>
            <sz val="11"/>
            <color theme="1"/>
            <rFont val="Aptos Narrow"/>
            <family val="2"/>
            <scheme val="minor"/>
          </rPr>
          <t>Kamal Khatter:
Data Analysis using Excel</t>
        </r>
      </text>
    </comment>
    <comment ref="I17" authorId="0" shapeId="0" xr:uid="{85269C8F-2BE2-441A-8A6E-E60F900D9B57}">
      <text>
        <r>
          <rPr>
            <sz val="11"/>
            <color theme="1"/>
            <rFont val="Aptos Narrow"/>
            <family val="2"/>
            <scheme val="minor"/>
          </rPr>
          <t>Kamal Khatter:
Banking products &amp; Services</t>
        </r>
      </text>
    </comment>
    <comment ref="I19" authorId="0" shapeId="0" xr:uid="{49AEE7C0-98EA-469B-A570-A3FCD9F0E79C}">
      <text>
        <r>
          <rPr>
            <sz val="11"/>
            <color theme="1"/>
            <rFont val="Aptos Narrow"/>
            <family val="2"/>
            <scheme val="minor"/>
          </rPr>
          <t>Kamal Khatter:
BA - Python
Fintech - FinTech, RegTech, InsurTech
ESG - Business sustainability &amp; ESG foundatoins</t>
        </r>
      </text>
    </comment>
    <comment ref="I20" authorId="0" shapeId="0" xr:uid="{0DC7245C-B83B-46AE-BCAB-337A734BBE6F}">
      <text>
        <r>
          <rPr>
            <sz val="11"/>
            <color theme="1"/>
            <rFont val="Aptos Narrow"/>
            <family val="2"/>
            <scheme val="minor"/>
          </rPr>
          <t>Kamal Khatter:
BA - Python programming.
Fintech- Fintech, RegTech, InsurTech
ESG- Business sustainability &amp; ESG foundation</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<sst xmlns="http://schemas.openxmlformats.org/spreadsheetml/2006/main" count="388" uniqueCount="61">
  <si>
    <t xml:space="preserve">University </t>
  </si>
  <si>
    <t>Program</t>
  </si>
  <si>
    <t>Semester</t>
  </si>
  <si>
    <t>Batch details</t>
  </si>
  <si>
    <t>No. of batches</t>
  </si>
  <si>
    <t>Start date</t>
  </si>
  <si>
    <t>Closing date</t>
  </si>
  <si>
    <t>Mapped Trainers</t>
  </si>
  <si>
    <t>Delivery hrs</t>
  </si>
  <si>
    <t>Courses/ Name of the paper</t>
  </si>
  <si>
    <t>No of hours</t>
  </si>
  <si>
    <t>Delivery mode</t>
  </si>
  <si>
    <t>Weekly/ Blocked</t>
  </si>
  <si>
    <t>No of students</t>
  </si>
  <si>
    <t>Trainers required</t>
  </si>
  <si>
    <t>Rajagiri College of Social Sciences</t>
  </si>
  <si>
    <t>BCA</t>
  </si>
  <si>
    <t>Sem 6</t>
  </si>
  <si>
    <t>Batch 2024</t>
  </si>
  <si>
    <t>30th May</t>
  </si>
  <si>
    <t>Delhi University</t>
  </si>
  <si>
    <t>BCOM</t>
  </si>
  <si>
    <t>1st may</t>
  </si>
  <si>
    <t>31st May</t>
  </si>
  <si>
    <t>Amity University</t>
  </si>
  <si>
    <t>MBA</t>
  </si>
  <si>
    <t>Sem 5</t>
  </si>
  <si>
    <t>15th may</t>
  </si>
  <si>
    <t>Guru Gobind Singh Indraprastha University</t>
  </si>
  <si>
    <t>Sem 1</t>
  </si>
  <si>
    <t>Guru Nanak Dev University</t>
  </si>
  <si>
    <t>21st may</t>
  </si>
  <si>
    <t>Galgotiyas University</t>
  </si>
  <si>
    <t>MCA</t>
  </si>
  <si>
    <t>Sem 2</t>
  </si>
  <si>
    <t>1st april</t>
  </si>
  <si>
    <t>26th may</t>
  </si>
  <si>
    <t>2nd april</t>
  </si>
  <si>
    <t>Business Analytics</t>
  </si>
  <si>
    <t>Sem 3</t>
  </si>
  <si>
    <t>3rd april</t>
  </si>
  <si>
    <t>4th april</t>
  </si>
  <si>
    <t>BBA</t>
  </si>
  <si>
    <t>5th april</t>
  </si>
  <si>
    <t>6th april</t>
  </si>
  <si>
    <t>7th april</t>
  </si>
  <si>
    <t>8th april</t>
  </si>
  <si>
    <t>Row Labels</t>
  </si>
  <si>
    <t>Grand Total</t>
  </si>
  <si>
    <t>Sum of No of students</t>
  </si>
  <si>
    <t>(All)</t>
  </si>
  <si>
    <t>Sum of No. of batches</t>
  </si>
  <si>
    <t>Column Labels</t>
  </si>
  <si>
    <t>Count of Semester</t>
  </si>
  <si>
    <t>Sem 4</t>
  </si>
  <si>
    <t>35</t>
  </si>
  <si>
    <t>48</t>
  </si>
  <si>
    <t>7</t>
  </si>
  <si>
    <t>8</t>
  </si>
  <si>
    <t>Advanced Excel</t>
  </si>
  <si>
    <t>Online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</si>
</sst>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Aptos Narrow"/>
      <family val="2"/>
      <scheme val="minor"/>
    </font>
    <font>
      <b/>
      <sz val="11"/>
      <color rgb="FFFFFF00"/>
      <name val="Calibri"/>
      <family val="2"/>
    </font>
    <font>
      <b/>
      <sz val="11"/>
      <color theme="1"/>
      <name val="Calibri"/>
      <family val="2"/>
    </font>
    <font>
      <b/>
      <sz val="11"/>
      <color theme="1"/>
      <name val="Calibri"/>
      <family val="2"/>
    </font>
    <font>
      <b/>
      <sz val="11"/>
      <color rgb="FFFF0000"/>
      <name val="Calibri"/>
      <family val="2"/>
    </font>
  </fonts>
  <fills count="7">
    <fill>
      <patternFill patternType="none"/>
    </fill>
    <fill>
      <patternFill patternType="gray125"/>
    </fill>
    <fill>
      <patternFill patternType="solid">
        <fgColor theme="8" tint="-0.249977111117893"/>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FFFF00"/>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2" fillId="3" borderId="1" xfId="0" applyFont="1" applyFill="1" applyBorder="1" applyAlignment="1">
      <alignment horizontal="center" vertical="center"/>
    </xf>
    <xf numFmtId="1" fontId="2" fillId="3" borderId="1" xfId="0" applyNumberFormat="1"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3" fillId="3" borderId="1" xfId="0" applyFont="1" applyFill="1" applyBorder="1" applyAlignment="1">
      <alignment horizontal="center" vertical="center"/>
    </xf>
    <xf numFmtId="1" fontId="3" fillId="3" borderId="1" xfId="0" applyNumberFormat="1" applyFont="1" applyFill="1" applyBorder="1" applyAlignment="1">
      <alignment horizontal="center" vertical="center" wrapText="1"/>
    </xf>
    <xf numFmtId="0" fontId="2" fillId="5"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1">
    <cellStyle name="Normal" xfId="0" builtinId="0"/>
  </cellStyles>
  <dxfs count="2">
    <dxf>
      <font>
        <color theme="0"/>
      </font>
      <border>
        <bottom style="thin">
          <color theme="4"/>
        </bottom>
        <vertical/>
        <horizontal/>
      </border>
    </dxf>
    <dxf>
      <font>
        <color theme="1"/>
      </font>
      <fill>
        <patternFill>
          <bgColor rgb="FF3E1050"/>
        </patternFill>
      </fill>
      <border diagonalUp="0" diagonalDown="0">
        <left/>
        <right/>
        <top/>
        <bottom/>
        <vertical/>
        <horizontal/>
      </border>
    </dxf>
  </dxfs>
  <tableStyles count="1" defaultTableStyle="TableStyleMedium2" defaultPivotStyle="PivotStyleLight16">
    <tableStyle name="SlicerStyleLight1 2" pivot="0" table="0" count="10" xr9:uid="{5A8DC406-1A1A-44AC-B72B-6F607430E439}">
      <tableStyleElement type="wholeTable" dxfId="1"/>
      <tableStyleElement type="headerRow" dxfId="0"/>
    </tableStyle>
  </tableStyles>
  <colors>
    <mruColors>
      <color rgb="FF990099"/>
      <color rgb="FF461E64"/>
      <color rgb="FF3E1050"/>
      <color rgb="FF532476"/>
      <color rgb="FFFFDE75"/>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532476"/>
            </patternFill>
          </fill>
          <border>
            <left style="thin">
              <color rgb="FFCCCCCC"/>
            </left>
            <right style="thin">
              <color rgb="FFCCCCCC"/>
            </right>
            <top style="thin">
              <color rgb="FFCCCCCC"/>
            </top>
            <bottom style="thin">
              <color rgb="FFCCCCCC"/>
            </bottom>
            <vertical/>
            <horizontal/>
          </border>
        </dxf>
        <dxf>
          <font>
            <color rgb="FF000000"/>
          </font>
          <fill>
            <gradientFill type="path" left="0.5" right="0.5" top="0.5" bottom="0.5">
              <stop position="0">
                <color theme="0"/>
              </stop>
              <stop position="1">
                <color rgb="FFFFC00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indexed="64"/>
              <bgColor rgb="FF532476"/>
            </patternFill>
          </fill>
          <border>
            <left style="thin">
              <color rgb="FFE0E0E0"/>
            </left>
            <right style="thin">
              <color rgb="FFE0E0E0"/>
            </right>
            <top style="thin">
              <color rgb="FFE0E0E0"/>
            </top>
            <bottom style="thin">
              <color rgb="FFE0E0E0"/>
            </bottom>
            <vertical/>
            <horizontal/>
          </border>
        </dxf>
        <dxf>
          <font>
            <color theme="0"/>
          </font>
          <fill>
            <patternFill patternType="solid">
              <fgColor rgb="FFFFFFFF"/>
              <bgColor rgb="FF3E105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pivotCacheDefinition" Target="pivotCache/pivotCacheDefinition1.xml"/><Relationship Id="rId7" Type="http://schemas.microsoft.com/office/2007/relationships/slicerCache" Target="slicerCaches/slicerCache3.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2.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_data.xlsx]Pivot Table!PivotTable4</c:name>
    <c:fmtId val="0"/>
  </c:pivotSource>
  <c:chart>
    <c:autoTitleDeleted val="1"/>
    <c:pivotFmts>
      <c:pivotFmt>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pivotFmt>
      <c:pivotFmt>
        <c:idx val="2"/>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pivotFmt>
      <c:pivotFmt>
        <c:idx val="3"/>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pivotFmt>
      <c:pivotFmt>
        <c:idx val="4"/>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pivotFmt>
      <c:pivotFmt>
        <c:idx val="5"/>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pivotFmt>
      <c:pivotFmt>
        <c:idx val="6"/>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pivotFmt>
    </c:pivotFmts>
    <c:plotArea>
      <c:layout/>
      <c:doughnutChart>
        <c:varyColors val="1"/>
        <c:ser>
          <c:idx val="0"/>
          <c:order val="0"/>
          <c:tx>
            <c:strRef>
              <c:f>'Pivot Table'!$B$21</c:f>
              <c:strCache>
                <c:ptCount val="1"/>
                <c:pt idx="0">
                  <c:v>Total</c:v>
                </c:pt>
              </c:strCache>
            </c:strRef>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c:spPr>
          <c:dPt>
            <c:idx val="0"/>
            <c:bubble3D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1-CB25-4F3A-A0F9-EA1C7D5237CD}"/>
              </c:ext>
            </c:extLst>
          </c:dPt>
          <c:dPt>
            <c:idx val="1"/>
            <c:bubble3D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3-CB25-4F3A-A0F9-EA1C7D5237CD}"/>
              </c:ext>
            </c:extLst>
          </c:dPt>
          <c:dPt>
            <c:idx val="2"/>
            <c:bubble3D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5-CB25-4F3A-A0F9-EA1C7D5237CD}"/>
              </c:ext>
            </c:extLst>
          </c:dPt>
          <c:dPt>
            <c:idx val="3"/>
            <c:bubble3D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7-CB25-4F3A-A0F9-EA1C7D5237CD}"/>
              </c:ext>
            </c:extLst>
          </c:dPt>
          <c:dPt>
            <c:idx val="4"/>
            <c:bubble3D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9-CB25-4F3A-A0F9-EA1C7D5237CD}"/>
              </c:ext>
            </c:extLst>
          </c:dPt>
          <c:dPt>
            <c:idx val="5"/>
            <c:bubble3D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B-CB25-4F3A-A0F9-EA1C7D5237C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Table'!$A$22:$A$28</c:f>
              <c:strCache>
                <c:ptCount val="6"/>
                <c:pt idx="0">
                  <c:v>BBA</c:v>
                </c:pt>
                <c:pt idx="1">
                  <c:v>BCA</c:v>
                </c:pt>
                <c:pt idx="2">
                  <c:v>BCOM</c:v>
                </c:pt>
                <c:pt idx="3">
                  <c:v>Business Analytics</c:v>
                </c:pt>
                <c:pt idx="4">
                  <c:v>MBA</c:v>
                </c:pt>
                <c:pt idx="5">
                  <c:v>MCA</c:v>
                </c:pt>
              </c:strCache>
            </c:strRef>
          </c:cat>
          <c:val>
            <c:numRef>
              <c:f>'Pivot Table'!$B$22:$B$28</c:f>
              <c:numCache>
                <c:formatCode>General</c:formatCode>
                <c:ptCount val="6"/>
                <c:pt idx="0">
                  <c:v>3</c:v>
                </c:pt>
                <c:pt idx="1">
                  <c:v>6</c:v>
                </c:pt>
                <c:pt idx="2">
                  <c:v>7</c:v>
                </c:pt>
                <c:pt idx="3">
                  <c:v>9</c:v>
                </c:pt>
                <c:pt idx="4">
                  <c:v>8</c:v>
                </c:pt>
                <c:pt idx="5">
                  <c:v>7</c:v>
                </c:pt>
              </c:numCache>
            </c:numRef>
          </c:val>
          <c:extLst>
            <c:ext xmlns:c16="http://schemas.microsoft.com/office/drawing/2014/chart" uri="{C3380CC4-5D6E-409C-BE32-E72D297353CC}">
              <c16:uniqueId val="{00000000-3D3C-41E9-86C5-7F720EFC9CB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_data.xlsx]Pivot Table!PivotTable6</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Table'!$B$32:$B$33</c:f>
              <c:strCache>
                <c:ptCount val="1"/>
                <c:pt idx="0">
                  <c:v>Online</c:v>
                </c:pt>
              </c:strCache>
            </c:strRef>
          </c:tx>
          <c:spPr>
            <a:solidFill>
              <a:schemeClr val="accent1"/>
            </a:solidFill>
            <a:ln>
              <a:noFill/>
            </a:ln>
            <a:effectLst/>
            <a:sp3d/>
          </c:spPr>
          <c:invertIfNegative val="0"/>
          <c:cat>
            <c:strRef>
              <c:f>'Pivot Table'!$A$34:$A$40</c:f>
              <c:strCache>
                <c:ptCount val="6"/>
                <c:pt idx="0">
                  <c:v>Sem 1</c:v>
                </c:pt>
                <c:pt idx="1">
                  <c:v>Sem 2</c:v>
                </c:pt>
                <c:pt idx="2">
                  <c:v>Sem 3</c:v>
                </c:pt>
                <c:pt idx="3">
                  <c:v>Sem 4</c:v>
                </c:pt>
                <c:pt idx="4">
                  <c:v>Sem 5</c:v>
                </c:pt>
                <c:pt idx="5">
                  <c:v>Sem 6</c:v>
                </c:pt>
              </c:strCache>
            </c:strRef>
          </c:cat>
          <c:val>
            <c:numRef>
              <c:f>'Pivot Table'!$B$34:$B$40</c:f>
              <c:numCache>
                <c:formatCode>General</c:formatCode>
                <c:ptCount val="6"/>
                <c:pt idx="0">
                  <c:v>10</c:v>
                </c:pt>
                <c:pt idx="1">
                  <c:v>2</c:v>
                </c:pt>
                <c:pt idx="2">
                  <c:v>13</c:v>
                </c:pt>
                <c:pt idx="3">
                  <c:v>4</c:v>
                </c:pt>
                <c:pt idx="4">
                  <c:v>5</c:v>
                </c:pt>
                <c:pt idx="5">
                  <c:v>6</c:v>
                </c:pt>
              </c:numCache>
            </c:numRef>
          </c:val>
          <c:extLst>
            <c:ext xmlns:c16="http://schemas.microsoft.com/office/drawing/2014/chart" uri="{C3380CC4-5D6E-409C-BE32-E72D297353CC}">
              <c16:uniqueId val="{00000000-EFD0-4469-980F-123B8FB55E63}"/>
            </c:ext>
          </c:extLst>
        </c:ser>
        <c:dLbls>
          <c:showLegendKey val="0"/>
          <c:showVal val="0"/>
          <c:showCatName val="0"/>
          <c:showSerName val="0"/>
          <c:showPercent val="0"/>
          <c:showBubbleSize val="0"/>
        </c:dLbls>
        <c:gapWidth val="150"/>
        <c:shape val="box"/>
        <c:axId val="361617968"/>
        <c:axId val="361618448"/>
        <c:axId val="0"/>
      </c:bar3DChart>
      <c:catAx>
        <c:axId val="3616179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361618448"/>
        <c:crosses val="autoZero"/>
        <c:auto val="1"/>
        <c:lblAlgn val="ctr"/>
        <c:lblOffset val="100"/>
        <c:noMultiLvlLbl val="0"/>
      </c:catAx>
      <c:valAx>
        <c:axId val="361618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361617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_data.xlsx]Pivot Table!PivotTable8</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Table'!$B$61</c:f>
              <c:strCache>
                <c:ptCount val="1"/>
                <c:pt idx="0">
                  <c:v>Total</c:v>
                </c:pt>
              </c:strCache>
            </c:strRef>
          </c:tx>
          <c:spPr>
            <a:solidFill>
              <a:schemeClr val="accent1"/>
            </a:solidFill>
            <a:ln>
              <a:noFill/>
            </a:ln>
            <a:effectLst/>
          </c:spPr>
          <c:invertIfNegative val="0"/>
          <c:cat>
            <c:strRef>
              <c:f>'Pivot Table'!$A$62:$A$68</c:f>
              <c:strCache>
                <c:ptCount val="6"/>
                <c:pt idx="0">
                  <c:v>BBA</c:v>
                </c:pt>
                <c:pt idx="1">
                  <c:v>BCA</c:v>
                </c:pt>
                <c:pt idx="2">
                  <c:v>BCOM</c:v>
                </c:pt>
                <c:pt idx="3">
                  <c:v>Business Analytics</c:v>
                </c:pt>
                <c:pt idx="4">
                  <c:v>MBA</c:v>
                </c:pt>
                <c:pt idx="5">
                  <c:v>MCA</c:v>
                </c:pt>
              </c:strCache>
            </c:strRef>
          </c:cat>
          <c:val>
            <c:numRef>
              <c:f>'Pivot Table'!$B$62:$B$68</c:f>
              <c:numCache>
                <c:formatCode>General</c:formatCode>
                <c:ptCount val="6"/>
                <c:pt idx="0">
                  <c:v>270</c:v>
                </c:pt>
                <c:pt idx="1">
                  <c:v>540</c:v>
                </c:pt>
                <c:pt idx="2">
                  <c:v>630</c:v>
                </c:pt>
                <c:pt idx="3">
                  <c:v>810</c:v>
                </c:pt>
                <c:pt idx="4">
                  <c:v>720</c:v>
                </c:pt>
                <c:pt idx="5">
                  <c:v>630</c:v>
                </c:pt>
              </c:numCache>
            </c:numRef>
          </c:val>
          <c:extLst>
            <c:ext xmlns:c16="http://schemas.microsoft.com/office/drawing/2014/chart" uri="{C3380CC4-5D6E-409C-BE32-E72D297353CC}">
              <c16:uniqueId val="{00000000-1C07-4800-9991-3F7B1A1282B2}"/>
            </c:ext>
          </c:extLst>
        </c:ser>
        <c:dLbls>
          <c:showLegendKey val="0"/>
          <c:showVal val="0"/>
          <c:showCatName val="0"/>
          <c:showSerName val="0"/>
          <c:showPercent val="0"/>
          <c:showBubbleSize val="0"/>
        </c:dLbls>
        <c:gapWidth val="219"/>
        <c:overlap val="-27"/>
        <c:axId val="165708768"/>
        <c:axId val="165710208"/>
      </c:barChart>
      <c:catAx>
        <c:axId val="165708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65710208"/>
        <c:crosses val="autoZero"/>
        <c:auto val="1"/>
        <c:lblAlgn val="ctr"/>
        <c:lblOffset val="100"/>
        <c:noMultiLvlLbl val="0"/>
      </c:catAx>
      <c:valAx>
        <c:axId val="165710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65708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_data.xlsx]Pivot Table!PivotTable1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Table'!$B$100</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Table'!$A$101:$A$104</c:f>
              <c:strCache>
                <c:ptCount val="3"/>
                <c:pt idx="0">
                  <c:v>Galgotiyas University</c:v>
                </c:pt>
                <c:pt idx="1">
                  <c:v>Guru Gobind Singh Indraprastha University</c:v>
                </c:pt>
                <c:pt idx="2">
                  <c:v>Guru Nanak Dev University</c:v>
                </c:pt>
              </c:strCache>
            </c:strRef>
          </c:cat>
          <c:val>
            <c:numRef>
              <c:f>'Pivot Table'!$B$101:$B$104</c:f>
              <c:numCache>
                <c:formatCode>General</c:formatCode>
                <c:ptCount val="3"/>
                <c:pt idx="0">
                  <c:v>16</c:v>
                </c:pt>
                <c:pt idx="1">
                  <c:v>16</c:v>
                </c:pt>
                <c:pt idx="2">
                  <c:v>8</c:v>
                </c:pt>
              </c:numCache>
            </c:numRef>
          </c:val>
          <c:smooth val="0"/>
          <c:extLst>
            <c:ext xmlns:c16="http://schemas.microsoft.com/office/drawing/2014/chart" uri="{C3380CC4-5D6E-409C-BE32-E72D297353CC}">
              <c16:uniqueId val="{00000000-EA7D-4DEB-8CC1-FD023E234C1E}"/>
            </c:ext>
          </c:extLst>
        </c:ser>
        <c:dLbls>
          <c:dLblPos val="t"/>
          <c:showLegendKey val="0"/>
          <c:showVal val="1"/>
          <c:showCatName val="0"/>
          <c:showSerName val="0"/>
          <c:showPercent val="0"/>
          <c:showBubbleSize val="0"/>
        </c:dLbls>
        <c:smooth val="0"/>
        <c:axId val="262734576"/>
        <c:axId val="262731216"/>
      </c:lineChart>
      <c:catAx>
        <c:axId val="262734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262731216"/>
        <c:crosses val="autoZero"/>
        <c:auto val="1"/>
        <c:lblAlgn val="ctr"/>
        <c:lblOffset val="100"/>
        <c:noMultiLvlLbl val="0"/>
      </c:catAx>
      <c:valAx>
        <c:axId val="262731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262734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plotArea>
      <cx:plotAreaRegion>
        <cx:series layoutId="treemap" uniqueId="{7193929D-371A-4D8B-A2D1-E320D219E574}">
          <cx:tx>
            <cx:txData>
              <cx:f>_xlchart.v1.1</cx:f>
              <cx:v>Sum of No of students</cx:v>
            </cx:txData>
          </cx:tx>
          <cx:dataLabels pos="inEnd">
            <cx:visibility seriesName="0" categoryName="1" value="1"/>
            <cx:separator>, </cx:separator>
          </cx:dataLabels>
          <cx:dataId val="0"/>
          <cx:layoutPr>
            <cx:parentLabelLayout val="overlapping"/>
          </cx:layoutPr>
        </cx:series>
      </cx:plotAreaRegion>
    </cx:plotArea>
    <cx:legend pos="t" align="ctr"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5</xdr:col>
      <xdr:colOff>447675</xdr:colOff>
      <xdr:row>1</xdr:row>
      <xdr:rowOff>80962</xdr:rowOff>
    </xdr:from>
    <xdr:to>
      <xdr:col>13</xdr:col>
      <xdr:colOff>142875</xdr:colOff>
      <xdr:row>15</xdr:row>
      <xdr:rowOff>157162</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70480D70-D08F-D885-B8E9-C0E8C86DBED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626225" y="265112"/>
              <a:ext cx="6045200" cy="2654300"/>
            </a:xfrm>
            <a:prstGeom prst="rect">
              <a:avLst/>
            </a:prstGeom>
            <a:solidFill>
              <a:prstClr val="white"/>
            </a:solidFill>
            <a:ln w="1">
              <a:solidFill>
                <a:prstClr val="green"/>
              </a:solidFill>
            </a:ln>
          </xdr:spPr>
          <xdr:txBody>
            <a:bodyPr vertOverflow="clip" horzOverflow="clip"/>
            <a:lstStyle/>
            <a:p>
              <a:r>
                <a:rPr lang="en-001"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13</xdr:col>
      <xdr:colOff>266700</xdr:colOff>
      <xdr:row>2</xdr:row>
      <xdr:rowOff>152400</xdr:rowOff>
    </xdr:from>
    <xdr:to>
      <xdr:col>16</xdr:col>
      <xdr:colOff>266703</xdr:colOff>
      <xdr:row>16</xdr:row>
      <xdr:rowOff>152400</xdr:rowOff>
    </xdr:to>
    <mc:AlternateContent xmlns:mc="http://schemas.openxmlformats.org/markup-compatibility/2006" xmlns:a14="http://schemas.microsoft.com/office/drawing/2010/main">
      <mc:Choice Requires="a14">
        <xdr:graphicFrame macro="">
          <xdr:nvGraphicFramePr>
            <xdr:cNvPr id="3" name="Program">
              <a:extLst>
                <a:ext uri="{FF2B5EF4-FFF2-40B4-BE49-F238E27FC236}">
                  <a16:creationId xmlns:a16="http://schemas.microsoft.com/office/drawing/2014/main" id="{38B5DD54-E322-AB82-B958-09831216E092}"/>
                </a:ext>
              </a:extLst>
            </xdr:cNvPr>
            <xdr:cNvGraphicFramePr/>
          </xdr:nvGraphicFramePr>
          <xdr:xfrm>
            <a:off x="0" y="0"/>
            <a:ext cx="0" cy="0"/>
          </xdr:xfrm>
          <a:graphic>
            <a:graphicData uri="http://schemas.microsoft.com/office/drawing/2010/slicer">
              <sle:slicer xmlns:sle="http://schemas.microsoft.com/office/drawing/2010/slicer" name="Program"/>
            </a:graphicData>
          </a:graphic>
        </xdr:graphicFrame>
      </mc:Choice>
      <mc:Fallback xmlns="">
        <xdr:sp macro="" textlink="">
          <xdr:nvSpPr>
            <xdr:cNvPr id="0" name=""/>
            <xdr:cNvSpPr>
              <a:spLocks noTextEdit="1"/>
            </xdr:cNvSpPr>
          </xdr:nvSpPr>
          <xdr:spPr>
            <a:xfrm>
              <a:off x="9934575" y="5334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428625</xdr:colOff>
      <xdr:row>16</xdr:row>
      <xdr:rowOff>52387</xdr:rowOff>
    </xdr:from>
    <xdr:to>
      <xdr:col>11</xdr:col>
      <xdr:colOff>123825</xdr:colOff>
      <xdr:row>30</xdr:row>
      <xdr:rowOff>128587</xdr:rowOff>
    </xdr:to>
    <xdr:graphicFrame macro="">
      <xdr:nvGraphicFramePr>
        <xdr:cNvPr id="4" name="Chart 3">
          <a:extLst>
            <a:ext uri="{FF2B5EF4-FFF2-40B4-BE49-F238E27FC236}">
              <a16:creationId xmlns:a16="http://schemas.microsoft.com/office/drawing/2014/main" id="{2552A633-E69D-163A-C7EC-5129E9D378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285750</xdr:colOff>
      <xdr:row>18</xdr:row>
      <xdr:rowOff>28575</xdr:rowOff>
    </xdr:from>
    <xdr:to>
      <xdr:col>16</xdr:col>
      <xdr:colOff>285753</xdr:colOff>
      <xdr:row>32</xdr:row>
      <xdr:rowOff>28575</xdr:rowOff>
    </xdr:to>
    <mc:AlternateContent xmlns:mc="http://schemas.openxmlformats.org/markup-compatibility/2006" xmlns:a14="http://schemas.microsoft.com/office/drawing/2010/main">
      <mc:Choice Requires="a14">
        <xdr:graphicFrame macro="">
          <xdr:nvGraphicFramePr>
            <xdr:cNvPr id="5" name="University ">
              <a:extLst>
                <a:ext uri="{FF2B5EF4-FFF2-40B4-BE49-F238E27FC236}">
                  <a16:creationId xmlns:a16="http://schemas.microsoft.com/office/drawing/2014/main" id="{769FA913-9F94-BD79-74E2-17C41B128C1A}"/>
                </a:ext>
              </a:extLst>
            </xdr:cNvPr>
            <xdr:cNvGraphicFramePr/>
          </xdr:nvGraphicFramePr>
          <xdr:xfrm>
            <a:off x="0" y="0"/>
            <a:ext cx="0" cy="0"/>
          </xdr:xfrm>
          <a:graphic>
            <a:graphicData uri="http://schemas.microsoft.com/office/drawing/2010/slicer">
              <sle:slicer xmlns:sle="http://schemas.microsoft.com/office/drawing/2010/slicer" name="University "/>
            </a:graphicData>
          </a:graphic>
        </xdr:graphicFrame>
      </mc:Choice>
      <mc:Fallback xmlns="">
        <xdr:sp macro="" textlink="">
          <xdr:nvSpPr>
            <xdr:cNvPr id="0" name=""/>
            <xdr:cNvSpPr>
              <a:spLocks noTextEdit="1"/>
            </xdr:cNvSpPr>
          </xdr:nvSpPr>
          <xdr:spPr>
            <a:xfrm>
              <a:off x="9953625" y="34575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257175</xdr:colOff>
      <xdr:row>31</xdr:row>
      <xdr:rowOff>71437</xdr:rowOff>
    </xdr:from>
    <xdr:to>
      <xdr:col>11</xdr:col>
      <xdr:colOff>561975</xdr:colOff>
      <xdr:row>45</xdr:row>
      <xdr:rowOff>147637</xdr:rowOff>
    </xdr:to>
    <xdr:graphicFrame macro="">
      <xdr:nvGraphicFramePr>
        <xdr:cNvPr id="6" name="Chart 5">
          <a:extLst>
            <a:ext uri="{FF2B5EF4-FFF2-40B4-BE49-F238E27FC236}">
              <a16:creationId xmlns:a16="http://schemas.microsoft.com/office/drawing/2014/main" id="{05FDD2DC-3FE0-0251-DDFD-D0410F0476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857250</xdr:colOff>
      <xdr:row>59</xdr:row>
      <xdr:rowOff>23812</xdr:rowOff>
    </xdr:from>
    <xdr:to>
      <xdr:col>8</xdr:col>
      <xdr:colOff>400050</xdr:colOff>
      <xdr:row>73</xdr:row>
      <xdr:rowOff>100012</xdr:rowOff>
    </xdr:to>
    <xdr:graphicFrame macro="">
      <xdr:nvGraphicFramePr>
        <xdr:cNvPr id="7" name="Chart 6">
          <a:extLst>
            <a:ext uri="{FF2B5EF4-FFF2-40B4-BE49-F238E27FC236}">
              <a16:creationId xmlns:a16="http://schemas.microsoft.com/office/drawing/2014/main" id="{3C144614-5A4B-E315-265A-5C4A0892A6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323850</xdr:colOff>
      <xdr:row>55</xdr:row>
      <xdr:rowOff>57150</xdr:rowOff>
    </xdr:from>
    <xdr:to>
      <xdr:col>12</xdr:col>
      <xdr:colOff>176646</xdr:colOff>
      <xdr:row>69</xdr:row>
      <xdr:rowOff>57150</xdr:rowOff>
    </xdr:to>
    <mc:AlternateContent xmlns:mc="http://schemas.openxmlformats.org/markup-compatibility/2006" xmlns:a14="http://schemas.microsoft.com/office/drawing/2010/main">
      <mc:Choice Requires="a14">
        <xdr:graphicFrame macro="">
          <xdr:nvGraphicFramePr>
            <xdr:cNvPr id="8" name="Weekly/ Blocked">
              <a:extLst>
                <a:ext uri="{FF2B5EF4-FFF2-40B4-BE49-F238E27FC236}">
                  <a16:creationId xmlns:a16="http://schemas.microsoft.com/office/drawing/2014/main" id="{DA895BF6-EB9A-FBFF-3626-22A8F67BDFF7}"/>
                </a:ext>
              </a:extLst>
            </xdr:cNvPr>
            <xdr:cNvGraphicFramePr/>
          </xdr:nvGraphicFramePr>
          <xdr:xfrm>
            <a:off x="0" y="0"/>
            <a:ext cx="0" cy="0"/>
          </xdr:xfrm>
          <a:graphic>
            <a:graphicData uri="http://schemas.microsoft.com/office/drawing/2010/slicer">
              <sle:slicer xmlns:sle="http://schemas.microsoft.com/office/drawing/2010/slicer" name="Weekly/ Blocked"/>
            </a:graphicData>
          </a:graphic>
        </xdr:graphicFrame>
      </mc:Choice>
      <mc:Fallback xmlns="">
        <xdr:sp macro="" textlink="">
          <xdr:nvSpPr>
            <xdr:cNvPr id="0" name=""/>
            <xdr:cNvSpPr>
              <a:spLocks noTextEdit="1"/>
            </xdr:cNvSpPr>
          </xdr:nvSpPr>
          <xdr:spPr>
            <a:xfrm>
              <a:off x="7553325" y="105346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1250950</xdr:colOff>
      <xdr:row>98</xdr:row>
      <xdr:rowOff>19050</xdr:rowOff>
    </xdr:from>
    <xdr:to>
      <xdr:col>8</xdr:col>
      <xdr:colOff>704589</xdr:colOff>
      <xdr:row>112</xdr:row>
      <xdr:rowOff>95250</xdr:rowOff>
    </xdr:to>
    <xdr:graphicFrame macro="">
      <xdr:nvGraphicFramePr>
        <xdr:cNvPr id="9" name="Chart 8">
          <a:extLst>
            <a:ext uri="{FF2B5EF4-FFF2-40B4-BE49-F238E27FC236}">
              <a16:creationId xmlns:a16="http://schemas.microsoft.com/office/drawing/2014/main" id="{91EC1C76-0757-2604-3013-33864F749F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546100</xdr:colOff>
      <xdr:row>13</xdr:row>
      <xdr:rowOff>31750</xdr:rowOff>
    </xdr:from>
    <xdr:to>
      <xdr:col>6</xdr:col>
      <xdr:colOff>679275</xdr:colOff>
      <xdr:row>26</xdr:row>
      <xdr:rowOff>174622</xdr:rowOff>
    </xdr:to>
    <mc:AlternateContent xmlns:mc="http://schemas.openxmlformats.org/markup-compatibility/2006" xmlns:a14="http://schemas.microsoft.com/office/drawing/2010/main">
      <mc:Choice Requires="a14">
        <xdr:graphicFrame macro="">
          <xdr:nvGraphicFramePr>
            <xdr:cNvPr id="11" name="Courses/ Name of the paper">
              <a:extLst>
                <a:ext uri="{FF2B5EF4-FFF2-40B4-BE49-F238E27FC236}">
                  <a16:creationId xmlns:a16="http://schemas.microsoft.com/office/drawing/2014/main" id="{AB058C97-3BA0-2E8F-CB74-57E0B3E620DA}"/>
                </a:ext>
              </a:extLst>
            </xdr:cNvPr>
            <xdr:cNvGraphicFramePr/>
          </xdr:nvGraphicFramePr>
          <xdr:xfrm>
            <a:off x="0" y="0"/>
            <a:ext cx="0" cy="0"/>
          </xdr:xfrm>
          <a:graphic>
            <a:graphicData uri="http://schemas.microsoft.com/office/drawing/2010/slicer">
              <sle:slicer xmlns:sle="http://schemas.microsoft.com/office/drawing/2010/slicer" name="Courses/ Name of the paper"/>
            </a:graphicData>
          </a:graphic>
        </xdr:graphicFrame>
      </mc:Choice>
      <mc:Fallback xmlns="">
        <xdr:sp macro="" textlink="">
          <xdr:nvSpPr>
            <xdr:cNvPr id="0" name=""/>
            <xdr:cNvSpPr>
              <a:spLocks noTextEdit="1"/>
            </xdr:cNvSpPr>
          </xdr:nvSpPr>
          <xdr:spPr>
            <a:xfrm>
              <a:off x="8318500" y="2508250"/>
              <a:ext cx="1828800" cy="2619372"/>
            </a:xfrm>
            <a:prstGeom prst="rect">
              <a:avLst/>
            </a:prstGeom>
            <a:solidFill>
              <a:prstClr val="white"/>
            </a:solidFill>
            <a:ln w="1">
              <a:solidFill>
                <a:prstClr val="green"/>
              </a:solidFill>
            </a:ln>
          </xdr:spPr>
          <xdr:txBody>
            <a:bodyPr vertOverflow="clip" horzOverflow="clip"/>
            <a:lstStyle/>
            <a:p>
              <a:r>
                <a:rPr lang="en-001"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vanshu Magon" refreshedDate="45821.96481701389" createdVersion="8" refreshedVersion="8" minRefreshableVersion="3" recordCount="50" xr:uid="{4E2B7EC2-6784-4A9D-AFA4-4FE3F37CF0D6}">
  <cacheSource type="worksheet">
    <worksheetSource ref="A1:O51" sheet="Dataset"/>
  </cacheSource>
  <cacheFields count="15">
    <cacheField name="University " numFmtId="0">
      <sharedItems count="6">
        <s v="Rajagiri College of Social Sciences"/>
        <s v="Delhi University"/>
        <s v="Amity University"/>
        <s v="Guru Gobind Singh Indraprastha University"/>
        <s v="Guru Nanak Dev University"/>
        <s v="Galgotiyas University"/>
      </sharedItems>
    </cacheField>
    <cacheField name="Program" numFmtId="0">
      <sharedItems count="7">
        <s v="BCA"/>
        <s v="BCOM"/>
        <s v="MBA"/>
        <s v="MCA"/>
        <s v="Business Analytics"/>
        <s v="BBA"/>
        <s v="BCA,BSc, IMCA-Business Analytics(Tech)" u="1"/>
      </sharedItems>
    </cacheField>
    <cacheField name="Semester" numFmtId="0">
      <sharedItems count="6">
        <s v="Sem 6"/>
        <s v="Sem 5"/>
        <s v="Sem 1"/>
        <s v="Sem 2"/>
        <s v="Sem 4"/>
        <s v="Sem 3"/>
      </sharedItems>
    </cacheField>
    <cacheField name="Batch details" numFmtId="0">
      <sharedItems count="1">
        <s v="Batch 2024"/>
      </sharedItems>
    </cacheField>
    <cacheField name="No. of batches" numFmtId="1">
      <sharedItems containsSemiMixedTypes="0" containsString="0" containsNumber="1" containsInteger="1" minValue="1" maxValue="2" count="2">
        <n v="1"/>
        <n v="2"/>
      </sharedItems>
    </cacheField>
    <cacheField name="Start date" numFmtId="0">
      <sharedItems/>
    </cacheField>
    <cacheField name="Closing date" numFmtId="0">
      <sharedItems containsBlank="1"/>
    </cacheField>
    <cacheField name="Mapped Trainers" numFmtId="0">
      <sharedItems count="6">
        <s v="Shalini and Bhavesh"/>
        <s v="Sakshi"/>
        <s v="Chirag"/>
        <s v="Anjali"/>
        <s v="Deepak"/>
        <s v="Jivanshu"/>
      </sharedItems>
    </cacheField>
    <cacheField name="Delivery hrs" numFmtId="0">
      <sharedItems count="2">
        <s v="35"/>
        <s v="48"/>
      </sharedItems>
    </cacheField>
    <cacheField name="Courses/ Name of the paper" numFmtId="0">
      <sharedItems count="4">
        <s v="DBMS-Projects"/>
        <s v="Coding"/>
        <s v="Advanced Analytics"/>
        <s v="Advanced Excel"/>
      </sharedItems>
    </cacheField>
    <cacheField name="No of hours" numFmtId="0">
      <sharedItems count="2">
        <s v="7"/>
        <s v="8"/>
      </sharedItems>
    </cacheField>
    <cacheField name="Delivery mode" numFmtId="0">
      <sharedItems count="2">
        <s v="Offline"/>
        <s v="Online"/>
      </sharedItems>
    </cacheField>
    <cacheField name="Weekly/ Blocked" numFmtId="0">
      <sharedItems count="2">
        <s v="Weekly"/>
        <s v="Blocked"/>
      </sharedItems>
    </cacheField>
    <cacheField name="No of students" numFmtId="0">
      <sharedItems containsSemiMixedTypes="0" containsString="0" containsNumber="1" containsInteger="1" minValue="90" maxValue="180"/>
    </cacheField>
    <cacheField name="Trainers required" numFmtId="0">
      <sharedItems containsSemiMixedTypes="0" containsString="0" containsNumber="1" containsInteger="1" minValue="1" maxValue="2" count="2">
        <n v="2"/>
        <n v="1"/>
      </sharedItems>
    </cacheField>
  </cacheFields>
  <extLst>
    <ext xmlns:x14="http://schemas.microsoft.com/office/spreadsheetml/2009/9/main" uri="{725AE2AE-9491-48be-B2B4-4EB974FC3084}">
      <x14:pivotCacheDefinition pivotCacheId="18114441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vanshu Magon" refreshedDate="45821.969389699072" createdVersion="8" refreshedVersion="8" minRefreshableVersion="3" recordCount="50" xr:uid="{D8887839-2267-4212-91B3-2D8137291869}">
  <cacheSource type="worksheet">
    <worksheetSource ref="A1:O51" sheet="Dataset"/>
  </cacheSource>
  <cacheFields count="15">
    <cacheField name="University " numFmtId="0">
      <sharedItems/>
    </cacheField>
    <cacheField name="Program" numFmtId="0">
      <sharedItems count="6">
        <s v="BCA"/>
        <s v="BCOM"/>
        <s v="MBA"/>
        <s v="MCA"/>
        <s v="Business Analytics"/>
        <s v="BBA"/>
      </sharedItems>
    </cacheField>
    <cacheField name="Semester" numFmtId="0">
      <sharedItems/>
    </cacheField>
    <cacheField name="Batch details" numFmtId="0">
      <sharedItems/>
    </cacheField>
    <cacheField name="No. of batches" numFmtId="1">
      <sharedItems containsSemiMixedTypes="0" containsString="0" containsNumber="1" containsInteger="1" minValue="1" maxValue="2"/>
    </cacheField>
    <cacheField name="Start date" numFmtId="0">
      <sharedItems/>
    </cacheField>
    <cacheField name="Closing date" numFmtId="0">
      <sharedItems containsBlank="1"/>
    </cacheField>
    <cacheField name="Mapped Trainers" numFmtId="0">
      <sharedItems/>
    </cacheField>
    <cacheField name="Delivery hrs" numFmtId="0">
      <sharedItems count="2">
        <s v="35"/>
        <s v="48"/>
      </sharedItems>
    </cacheField>
    <cacheField name="Courses/ Name of the paper" numFmtId="0">
      <sharedItems/>
    </cacheField>
    <cacheField name="No of hours" numFmtId="0">
      <sharedItems count="2">
        <s v="7"/>
        <s v="8"/>
      </sharedItems>
    </cacheField>
    <cacheField name="Delivery mode" numFmtId="0">
      <sharedItems/>
    </cacheField>
    <cacheField name="Weekly/ Blocked" numFmtId="0">
      <sharedItems/>
    </cacheField>
    <cacheField name="No of students" numFmtId="0">
      <sharedItems containsSemiMixedTypes="0" containsString="0" containsNumber="1" containsInteger="1" minValue="90" maxValue="180"/>
    </cacheField>
    <cacheField name="Trainers required" numFmtId="0">
      <sharedItems containsSemiMixedTypes="0" containsString="0" containsNumber="1" containsInteger="1" minValue="1" maxValue="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x v="0"/>
    <x v="0"/>
    <x v="0"/>
    <s v="1st may"/>
    <s v="30th May"/>
    <x v="0"/>
    <x v="0"/>
    <x v="0"/>
    <x v="0"/>
    <x v="0"/>
    <x v="0"/>
    <n v="90"/>
    <x v="0"/>
  </r>
  <r>
    <x v="1"/>
    <x v="1"/>
    <x v="0"/>
    <x v="0"/>
    <x v="1"/>
    <s v="1st may"/>
    <s v="31st May"/>
    <x v="1"/>
    <x v="0"/>
    <x v="1"/>
    <x v="1"/>
    <x v="0"/>
    <x v="0"/>
    <n v="180"/>
    <x v="1"/>
  </r>
  <r>
    <x v="2"/>
    <x v="2"/>
    <x v="1"/>
    <x v="0"/>
    <x v="0"/>
    <s v="15th may"/>
    <s v="31st May"/>
    <x v="2"/>
    <x v="1"/>
    <x v="2"/>
    <x v="0"/>
    <x v="0"/>
    <x v="0"/>
    <n v="90"/>
    <x v="1"/>
  </r>
  <r>
    <x v="3"/>
    <x v="1"/>
    <x v="1"/>
    <x v="0"/>
    <x v="1"/>
    <s v="1st may"/>
    <s v="31st May"/>
    <x v="3"/>
    <x v="1"/>
    <x v="3"/>
    <x v="1"/>
    <x v="1"/>
    <x v="1"/>
    <n v="180"/>
    <x v="1"/>
  </r>
  <r>
    <x v="4"/>
    <x v="2"/>
    <x v="2"/>
    <x v="0"/>
    <x v="0"/>
    <s v="21st may"/>
    <s v="31st May"/>
    <x v="4"/>
    <x v="1"/>
    <x v="3"/>
    <x v="0"/>
    <x v="1"/>
    <x v="1"/>
    <n v="90"/>
    <x v="1"/>
  </r>
  <r>
    <x v="5"/>
    <x v="3"/>
    <x v="3"/>
    <x v="0"/>
    <x v="1"/>
    <s v="1st april"/>
    <s v="31st May"/>
    <x v="5"/>
    <x v="1"/>
    <x v="3"/>
    <x v="1"/>
    <x v="1"/>
    <x v="1"/>
    <n v="180"/>
    <x v="1"/>
  </r>
  <r>
    <x v="0"/>
    <x v="1"/>
    <x v="0"/>
    <x v="0"/>
    <x v="0"/>
    <s v="26th may"/>
    <s v="31st May"/>
    <x v="0"/>
    <x v="0"/>
    <x v="0"/>
    <x v="0"/>
    <x v="0"/>
    <x v="0"/>
    <n v="90"/>
    <x v="0"/>
  </r>
  <r>
    <x v="1"/>
    <x v="1"/>
    <x v="1"/>
    <x v="0"/>
    <x v="1"/>
    <s v="1st may"/>
    <s v="31st May"/>
    <x v="1"/>
    <x v="0"/>
    <x v="1"/>
    <x v="1"/>
    <x v="0"/>
    <x v="0"/>
    <n v="180"/>
    <x v="1"/>
  </r>
  <r>
    <x v="2"/>
    <x v="2"/>
    <x v="2"/>
    <x v="0"/>
    <x v="0"/>
    <s v="15th may"/>
    <s v="31st May"/>
    <x v="2"/>
    <x v="1"/>
    <x v="2"/>
    <x v="0"/>
    <x v="0"/>
    <x v="0"/>
    <n v="90"/>
    <x v="1"/>
  </r>
  <r>
    <x v="3"/>
    <x v="1"/>
    <x v="4"/>
    <x v="0"/>
    <x v="1"/>
    <s v="1st may"/>
    <s v="31st May"/>
    <x v="3"/>
    <x v="1"/>
    <x v="3"/>
    <x v="1"/>
    <x v="1"/>
    <x v="1"/>
    <n v="180"/>
    <x v="1"/>
  </r>
  <r>
    <x v="4"/>
    <x v="2"/>
    <x v="2"/>
    <x v="0"/>
    <x v="0"/>
    <s v="21st may"/>
    <s v="31st May"/>
    <x v="4"/>
    <x v="1"/>
    <x v="3"/>
    <x v="0"/>
    <x v="1"/>
    <x v="1"/>
    <n v="90"/>
    <x v="1"/>
  </r>
  <r>
    <x v="5"/>
    <x v="2"/>
    <x v="2"/>
    <x v="0"/>
    <x v="1"/>
    <s v="2nd april"/>
    <s v="31st May"/>
    <x v="5"/>
    <x v="1"/>
    <x v="3"/>
    <x v="1"/>
    <x v="1"/>
    <x v="1"/>
    <n v="180"/>
    <x v="1"/>
  </r>
  <r>
    <x v="0"/>
    <x v="1"/>
    <x v="4"/>
    <x v="0"/>
    <x v="0"/>
    <s v="26th may"/>
    <s v="31st May"/>
    <x v="0"/>
    <x v="0"/>
    <x v="0"/>
    <x v="0"/>
    <x v="0"/>
    <x v="0"/>
    <n v="90"/>
    <x v="0"/>
  </r>
  <r>
    <x v="1"/>
    <x v="0"/>
    <x v="0"/>
    <x v="0"/>
    <x v="1"/>
    <s v="1st may"/>
    <s v="31st May"/>
    <x v="1"/>
    <x v="0"/>
    <x v="1"/>
    <x v="1"/>
    <x v="0"/>
    <x v="0"/>
    <n v="180"/>
    <x v="1"/>
  </r>
  <r>
    <x v="2"/>
    <x v="3"/>
    <x v="2"/>
    <x v="0"/>
    <x v="0"/>
    <s v="15th may"/>
    <s v="31st May"/>
    <x v="2"/>
    <x v="1"/>
    <x v="2"/>
    <x v="0"/>
    <x v="0"/>
    <x v="0"/>
    <n v="90"/>
    <x v="1"/>
  </r>
  <r>
    <x v="3"/>
    <x v="4"/>
    <x v="5"/>
    <x v="0"/>
    <x v="1"/>
    <s v="1st may"/>
    <s v="31st May"/>
    <x v="3"/>
    <x v="1"/>
    <x v="3"/>
    <x v="1"/>
    <x v="1"/>
    <x v="1"/>
    <n v="180"/>
    <x v="1"/>
  </r>
  <r>
    <x v="4"/>
    <x v="0"/>
    <x v="5"/>
    <x v="0"/>
    <x v="0"/>
    <s v="21st may"/>
    <s v="31st May"/>
    <x v="4"/>
    <x v="1"/>
    <x v="3"/>
    <x v="0"/>
    <x v="1"/>
    <x v="1"/>
    <n v="90"/>
    <x v="1"/>
  </r>
  <r>
    <x v="5"/>
    <x v="3"/>
    <x v="2"/>
    <x v="0"/>
    <x v="1"/>
    <s v="3rd april"/>
    <s v="31st May"/>
    <x v="5"/>
    <x v="1"/>
    <x v="3"/>
    <x v="1"/>
    <x v="1"/>
    <x v="1"/>
    <n v="180"/>
    <x v="1"/>
  </r>
  <r>
    <x v="0"/>
    <x v="4"/>
    <x v="5"/>
    <x v="0"/>
    <x v="0"/>
    <s v="26th may"/>
    <s v="31st May"/>
    <x v="0"/>
    <x v="0"/>
    <x v="0"/>
    <x v="0"/>
    <x v="0"/>
    <x v="0"/>
    <n v="90"/>
    <x v="0"/>
  </r>
  <r>
    <x v="1"/>
    <x v="0"/>
    <x v="0"/>
    <x v="0"/>
    <x v="1"/>
    <s v="1st may"/>
    <s v="31st May"/>
    <x v="1"/>
    <x v="0"/>
    <x v="1"/>
    <x v="1"/>
    <x v="0"/>
    <x v="0"/>
    <n v="180"/>
    <x v="1"/>
  </r>
  <r>
    <x v="2"/>
    <x v="0"/>
    <x v="5"/>
    <x v="0"/>
    <x v="0"/>
    <s v="15th may"/>
    <s v="31st May"/>
    <x v="2"/>
    <x v="1"/>
    <x v="2"/>
    <x v="0"/>
    <x v="0"/>
    <x v="0"/>
    <n v="90"/>
    <x v="1"/>
  </r>
  <r>
    <x v="3"/>
    <x v="4"/>
    <x v="5"/>
    <x v="0"/>
    <x v="1"/>
    <s v="1st may"/>
    <s v="31st May"/>
    <x v="3"/>
    <x v="1"/>
    <x v="3"/>
    <x v="1"/>
    <x v="1"/>
    <x v="1"/>
    <n v="180"/>
    <x v="1"/>
  </r>
  <r>
    <x v="4"/>
    <x v="0"/>
    <x v="5"/>
    <x v="0"/>
    <x v="0"/>
    <s v="21st may"/>
    <s v="31st May"/>
    <x v="4"/>
    <x v="1"/>
    <x v="3"/>
    <x v="0"/>
    <x v="1"/>
    <x v="1"/>
    <n v="90"/>
    <x v="1"/>
  </r>
  <r>
    <x v="5"/>
    <x v="4"/>
    <x v="5"/>
    <x v="0"/>
    <x v="1"/>
    <s v="4th april"/>
    <s v="31st May"/>
    <x v="5"/>
    <x v="1"/>
    <x v="3"/>
    <x v="1"/>
    <x v="1"/>
    <x v="1"/>
    <n v="180"/>
    <x v="1"/>
  </r>
  <r>
    <x v="0"/>
    <x v="3"/>
    <x v="1"/>
    <x v="0"/>
    <x v="0"/>
    <s v="26th may"/>
    <s v="31st May"/>
    <x v="0"/>
    <x v="0"/>
    <x v="0"/>
    <x v="0"/>
    <x v="0"/>
    <x v="0"/>
    <n v="90"/>
    <x v="0"/>
  </r>
  <r>
    <x v="1"/>
    <x v="5"/>
    <x v="1"/>
    <x v="0"/>
    <x v="1"/>
    <s v="1st may"/>
    <s v="31st May"/>
    <x v="1"/>
    <x v="0"/>
    <x v="1"/>
    <x v="1"/>
    <x v="0"/>
    <x v="0"/>
    <n v="180"/>
    <x v="1"/>
  </r>
  <r>
    <x v="2"/>
    <x v="5"/>
    <x v="1"/>
    <x v="0"/>
    <x v="0"/>
    <s v="15th may"/>
    <s v="31st May"/>
    <x v="2"/>
    <x v="1"/>
    <x v="2"/>
    <x v="0"/>
    <x v="0"/>
    <x v="0"/>
    <n v="90"/>
    <x v="1"/>
  </r>
  <r>
    <x v="3"/>
    <x v="0"/>
    <x v="5"/>
    <x v="0"/>
    <x v="1"/>
    <s v="1st may"/>
    <s v="31st May"/>
    <x v="3"/>
    <x v="1"/>
    <x v="3"/>
    <x v="1"/>
    <x v="1"/>
    <x v="1"/>
    <n v="180"/>
    <x v="1"/>
  </r>
  <r>
    <x v="4"/>
    <x v="1"/>
    <x v="0"/>
    <x v="0"/>
    <x v="0"/>
    <s v="21st may"/>
    <s v="31st May"/>
    <x v="4"/>
    <x v="1"/>
    <x v="3"/>
    <x v="0"/>
    <x v="1"/>
    <x v="1"/>
    <n v="90"/>
    <x v="1"/>
  </r>
  <r>
    <x v="5"/>
    <x v="2"/>
    <x v="2"/>
    <x v="0"/>
    <x v="1"/>
    <s v="5th april"/>
    <s v="31st May"/>
    <x v="5"/>
    <x v="1"/>
    <x v="3"/>
    <x v="1"/>
    <x v="1"/>
    <x v="1"/>
    <n v="180"/>
    <x v="1"/>
  </r>
  <r>
    <x v="0"/>
    <x v="0"/>
    <x v="5"/>
    <x v="0"/>
    <x v="0"/>
    <s v="26th may"/>
    <s v="31st May"/>
    <x v="0"/>
    <x v="0"/>
    <x v="0"/>
    <x v="0"/>
    <x v="0"/>
    <x v="0"/>
    <n v="90"/>
    <x v="0"/>
  </r>
  <r>
    <x v="1"/>
    <x v="1"/>
    <x v="4"/>
    <x v="0"/>
    <x v="1"/>
    <s v="1st may"/>
    <s v="31st May"/>
    <x v="1"/>
    <x v="0"/>
    <x v="1"/>
    <x v="1"/>
    <x v="0"/>
    <x v="0"/>
    <n v="180"/>
    <x v="1"/>
  </r>
  <r>
    <x v="2"/>
    <x v="3"/>
    <x v="2"/>
    <x v="0"/>
    <x v="0"/>
    <s v="15th may"/>
    <s v="31st May"/>
    <x v="2"/>
    <x v="1"/>
    <x v="2"/>
    <x v="0"/>
    <x v="0"/>
    <x v="0"/>
    <n v="90"/>
    <x v="1"/>
  </r>
  <r>
    <x v="3"/>
    <x v="2"/>
    <x v="2"/>
    <x v="0"/>
    <x v="1"/>
    <s v="1st may"/>
    <s v="31st May"/>
    <x v="3"/>
    <x v="1"/>
    <x v="3"/>
    <x v="1"/>
    <x v="1"/>
    <x v="1"/>
    <n v="180"/>
    <x v="1"/>
  </r>
  <r>
    <x v="4"/>
    <x v="4"/>
    <x v="5"/>
    <x v="0"/>
    <x v="0"/>
    <s v="21st may"/>
    <s v="31st May"/>
    <x v="4"/>
    <x v="1"/>
    <x v="3"/>
    <x v="0"/>
    <x v="1"/>
    <x v="1"/>
    <n v="90"/>
    <x v="1"/>
  </r>
  <r>
    <x v="5"/>
    <x v="0"/>
    <x v="4"/>
    <x v="0"/>
    <x v="1"/>
    <s v="6th april"/>
    <s v="31st May"/>
    <x v="5"/>
    <x v="1"/>
    <x v="3"/>
    <x v="1"/>
    <x v="1"/>
    <x v="1"/>
    <n v="180"/>
    <x v="1"/>
  </r>
  <r>
    <x v="0"/>
    <x v="5"/>
    <x v="4"/>
    <x v="0"/>
    <x v="0"/>
    <s v="26th may"/>
    <s v="31st May"/>
    <x v="0"/>
    <x v="0"/>
    <x v="0"/>
    <x v="0"/>
    <x v="0"/>
    <x v="0"/>
    <n v="90"/>
    <x v="0"/>
  </r>
  <r>
    <x v="1"/>
    <x v="1"/>
    <x v="1"/>
    <x v="0"/>
    <x v="1"/>
    <s v="1st may"/>
    <s v="31st May"/>
    <x v="1"/>
    <x v="0"/>
    <x v="1"/>
    <x v="1"/>
    <x v="0"/>
    <x v="0"/>
    <n v="180"/>
    <x v="1"/>
  </r>
  <r>
    <x v="2"/>
    <x v="4"/>
    <x v="5"/>
    <x v="0"/>
    <x v="0"/>
    <s v="15th may"/>
    <s v="31st May"/>
    <x v="2"/>
    <x v="1"/>
    <x v="2"/>
    <x v="0"/>
    <x v="0"/>
    <x v="0"/>
    <n v="90"/>
    <x v="1"/>
  </r>
  <r>
    <x v="3"/>
    <x v="3"/>
    <x v="1"/>
    <x v="0"/>
    <x v="1"/>
    <s v="1st may"/>
    <s v="31st May"/>
    <x v="3"/>
    <x v="1"/>
    <x v="3"/>
    <x v="1"/>
    <x v="1"/>
    <x v="1"/>
    <n v="180"/>
    <x v="1"/>
  </r>
  <r>
    <x v="4"/>
    <x v="5"/>
    <x v="0"/>
    <x v="0"/>
    <x v="0"/>
    <s v="21st may"/>
    <s v="31st May"/>
    <x v="4"/>
    <x v="1"/>
    <x v="3"/>
    <x v="0"/>
    <x v="1"/>
    <x v="1"/>
    <n v="90"/>
    <x v="1"/>
  </r>
  <r>
    <x v="5"/>
    <x v="4"/>
    <x v="5"/>
    <x v="0"/>
    <x v="1"/>
    <s v="7th april"/>
    <s v="31st May"/>
    <x v="5"/>
    <x v="1"/>
    <x v="3"/>
    <x v="1"/>
    <x v="1"/>
    <x v="1"/>
    <n v="180"/>
    <x v="1"/>
  </r>
  <r>
    <x v="0"/>
    <x v="3"/>
    <x v="1"/>
    <x v="0"/>
    <x v="0"/>
    <s v="26th may"/>
    <s v="31st May"/>
    <x v="0"/>
    <x v="0"/>
    <x v="0"/>
    <x v="0"/>
    <x v="0"/>
    <x v="0"/>
    <n v="90"/>
    <x v="0"/>
  </r>
  <r>
    <x v="1"/>
    <x v="2"/>
    <x v="1"/>
    <x v="0"/>
    <x v="1"/>
    <s v="1st may"/>
    <m/>
    <x v="1"/>
    <x v="0"/>
    <x v="1"/>
    <x v="1"/>
    <x v="0"/>
    <x v="0"/>
    <n v="180"/>
    <x v="1"/>
  </r>
  <r>
    <x v="2"/>
    <x v="2"/>
    <x v="1"/>
    <x v="0"/>
    <x v="0"/>
    <s v="15th may"/>
    <s v="31st May"/>
    <x v="2"/>
    <x v="1"/>
    <x v="2"/>
    <x v="0"/>
    <x v="0"/>
    <x v="0"/>
    <n v="90"/>
    <x v="1"/>
  </r>
  <r>
    <x v="3"/>
    <x v="1"/>
    <x v="0"/>
    <x v="0"/>
    <x v="1"/>
    <s v="1st may"/>
    <s v="31st May"/>
    <x v="3"/>
    <x v="1"/>
    <x v="3"/>
    <x v="1"/>
    <x v="1"/>
    <x v="1"/>
    <n v="180"/>
    <x v="1"/>
  </r>
  <r>
    <x v="4"/>
    <x v="3"/>
    <x v="1"/>
    <x v="0"/>
    <x v="0"/>
    <s v="21st may"/>
    <s v="31st May"/>
    <x v="4"/>
    <x v="1"/>
    <x v="3"/>
    <x v="0"/>
    <x v="1"/>
    <x v="1"/>
    <n v="90"/>
    <x v="1"/>
  </r>
  <r>
    <x v="5"/>
    <x v="5"/>
    <x v="0"/>
    <x v="0"/>
    <x v="1"/>
    <s v="8th april"/>
    <s v="31st May"/>
    <x v="5"/>
    <x v="1"/>
    <x v="3"/>
    <x v="1"/>
    <x v="1"/>
    <x v="1"/>
    <n v="180"/>
    <x v="1"/>
  </r>
  <r>
    <x v="0"/>
    <x v="5"/>
    <x v="0"/>
    <x v="0"/>
    <x v="0"/>
    <s v="26th may"/>
    <s v="31st May"/>
    <x v="0"/>
    <x v="0"/>
    <x v="0"/>
    <x v="0"/>
    <x v="0"/>
    <x v="0"/>
    <n v="90"/>
    <x v="0"/>
  </r>
  <r>
    <x v="1"/>
    <x v="3"/>
    <x v="1"/>
    <x v="0"/>
    <x v="0"/>
    <s v="1st may"/>
    <s v="31st May"/>
    <x v="1"/>
    <x v="0"/>
    <x v="1"/>
    <x v="1"/>
    <x v="0"/>
    <x v="0"/>
    <n v="9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Rajagiri College of Social Sciences"/>
    <x v="0"/>
    <s v="Sem 6"/>
    <s v="Batch 2024"/>
    <n v="1"/>
    <s v="1st may"/>
    <s v="30th May"/>
    <s v="Shalini and Bhavesh"/>
    <x v="0"/>
    <s v="DBMS-Projects"/>
    <x v="0"/>
    <s v="Offline"/>
    <s v="Weekly"/>
    <n v="90"/>
    <n v="2"/>
  </r>
  <r>
    <s v="Delhi University"/>
    <x v="1"/>
    <s v="Sem 6"/>
    <s v="Batch 2024"/>
    <n v="2"/>
    <s v="1st may"/>
    <s v="31st May"/>
    <s v="Sakshi"/>
    <x v="0"/>
    <s v="Coding"/>
    <x v="1"/>
    <s v="Offline"/>
    <s v="Weekly"/>
    <n v="180"/>
    <n v="1"/>
  </r>
  <r>
    <s v="Amity University"/>
    <x v="2"/>
    <s v="Sem 5"/>
    <s v="Batch 2024"/>
    <n v="1"/>
    <s v="15th may"/>
    <s v="31st May"/>
    <s v="Chirag"/>
    <x v="1"/>
    <s v="Advanced Analytics"/>
    <x v="0"/>
    <s v="Offline"/>
    <s v="Weekly"/>
    <n v="90"/>
    <n v="1"/>
  </r>
  <r>
    <s v="Guru Gobind Singh Indraprastha University"/>
    <x v="1"/>
    <s v="Sem 5"/>
    <s v="Batch 2024"/>
    <n v="2"/>
    <s v="1st may"/>
    <s v="31st May"/>
    <s v="Anjali"/>
    <x v="1"/>
    <s v="Advanced Excel"/>
    <x v="1"/>
    <s v="Online"/>
    <s v="Blocked"/>
    <n v="180"/>
    <n v="1"/>
  </r>
  <r>
    <s v="Guru Nanak Dev University"/>
    <x v="2"/>
    <s v="Sem 1"/>
    <s v="Batch 2024"/>
    <n v="1"/>
    <s v="21st may"/>
    <s v="31st May"/>
    <s v="Deepak"/>
    <x v="1"/>
    <s v="Advanced Excel"/>
    <x v="0"/>
    <s v="Online"/>
    <s v="Blocked"/>
    <n v="90"/>
    <n v="1"/>
  </r>
  <r>
    <s v="Galgotiyas University"/>
    <x v="3"/>
    <s v="Sem 2"/>
    <s v="Batch 2024"/>
    <n v="2"/>
    <s v="1st april"/>
    <s v="31st May"/>
    <s v="Jivanshu"/>
    <x v="1"/>
    <s v="Advanced Excel"/>
    <x v="1"/>
    <s v="Online"/>
    <s v="Blocked"/>
    <n v="180"/>
    <n v="1"/>
  </r>
  <r>
    <s v="Rajagiri College of Social Sciences"/>
    <x v="1"/>
    <s v="Sem 6"/>
    <s v="Batch 2024"/>
    <n v="1"/>
    <s v="26th may"/>
    <s v="31st May"/>
    <s v="Shalini and Bhavesh"/>
    <x v="0"/>
    <s v="DBMS-Projects"/>
    <x v="0"/>
    <s v="Offline"/>
    <s v="Weekly"/>
    <n v="90"/>
    <n v="2"/>
  </r>
  <r>
    <s v="Delhi University"/>
    <x v="1"/>
    <s v="Sem 5"/>
    <s v="Batch 2024"/>
    <n v="2"/>
    <s v="1st may"/>
    <s v="31st May"/>
    <s v="Sakshi"/>
    <x v="0"/>
    <s v="Coding"/>
    <x v="1"/>
    <s v="Offline"/>
    <s v="Weekly"/>
    <n v="180"/>
    <n v="1"/>
  </r>
  <r>
    <s v="Amity University"/>
    <x v="2"/>
    <s v="Sem 1"/>
    <s v="Batch 2024"/>
    <n v="1"/>
    <s v="15th may"/>
    <s v="31st May"/>
    <s v="Chirag"/>
    <x v="1"/>
    <s v="Advanced Analytics"/>
    <x v="0"/>
    <s v="Offline"/>
    <s v="Weekly"/>
    <n v="90"/>
    <n v="1"/>
  </r>
  <r>
    <s v="Guru Gobind Singh Indraprastha University"/>
    <x v="1"/>
    <s v="Sem 4"/>
    <s v="Batch 2024"/>
    <n v="2"/>
    <s v="1st may"/>
    <s v="31st May"/>
    <s v="Anjali"/>
    <x v="1"/>
    <s v="Advanced Excel"/>
    <x v="1"/>
    <s v="Online"/>
    <s v="Blocked"/>
    <n v="180"/>
    <n v="1"/>
  </r>
  <r>
    <s v="Guru Nanak Dev University"/>
    <x v="2"/>
    <s v="Sem 1"/>
    <s v="Batch 2024"/>
    <n v="1"/>
    <s v="21st may"/>
    <s v="31st May"/>
    <s v="Deepak"/>
    <x v="1"/>
    <s v="Advanced Excel"/>
    <x v="0"/>
    <s v="Online"/>
    <s v="Blocked"/>
    <n v="90"/>
    <n v="1"/>
  </r>
  <r>
    <s v="Galgotiyas University"/>
    <x v="2"/>
    <s v="Sem 1"/>
    <s v="Batch 2024"/>
    <n v="2"/>
    <s v="2nd april"/>
    <s v="31st May"/>
    <s v="Jivanshu"/>
    <x v="1"/>
    <s v="Advanced Excel"/>
    <x v="1"/>
    <s v="Online"/>
    <s v="Blocked"/>
    <n v="180"/>
    <n v="1"/>
  </r>
  <r>
    <s v="Rajagiri College of Social Sciences"/>
    <x v="1"/>
    <s v="Sem 4"/>
    <s v="Batch 2024"/>
    <n v="1"/>
    <s v="26th may"/>
    <s v="31st May"/>
    <s v="Shalini and Bhavesh"/>
    <x v="0"/>
    <s v="DBMS-Projects"/>
    <x v="0"/>
    <s v="Offline"/>
    <s v="Weekly"/>
    <n v="90"/>
    <n v="2"/>
  </r>
  <r>
    <s v="Delhi University"/>
    <x v="0"/>
    <s v="Sem 6"/>
    <s v="Batch 2024"/>
    <n v="2"/>
    <s v="1st may"/>
    <s v="31st May"/>
    <s v="Sakshi"/>
    <x v="0"/>
    <s v="Coding"/>
    <x v="1"/>
    <s v="Offline"/>
    <s v="Weekly"/>
    <n v="180"/>
    <n v="1"/>
  </r>
  <r>
    <s v="Amity University"/>
    <x v="3"/>
    <s v="Sem 1"/>
    <s v="Batch 2024"/>
    <n v="1"/>
    <s v="15th may"/>
    <s v="31st May"/>
    <s v="Chirag"/>
    <x v="1"/>
    <s v="Advanced Analytics"/>
    <x v="0"/>
    <s v="Offline"/>
    <s v="Weekly"/>
    <n v="90"/>
    <n v="1"/>
  </r>
  <r>
    <s v="Guru Gobind Singh Indraprastha University"/>
    <x v="4"/>
    <s v="Sem 3"/>
    <s v="Batch 2024"/>
    <n v="2"/>
    <s v="1st may"/>
    <s v="31st May"/>
    <s v="Anjali"/>
    <x v="1"/>
    <s v="Advanced Excel"/>
    <x v="1"/>
    <s v="Online"/>
    <s v="Blocked"/>
    <n v="180"/>
    <n v="1"/>
  </r>
  <r>
    <s v="Guru Nanak Dev University"/>
    <x v="0"/>
    <s v="Sem 3"/>
    <s v="Batch 2024"/>
    <n v="1"/>
    <s v="21st may"/>
    <s v="31st May"/>
    <s v="Deepak"/>
    <x v="1"/>
    <s v="Advanced Excel"/>
    <x v="0"/>
    <s v="Online"/>
    <s v="Blocked"/>
    <n v="90"/>
    <n v="1"/>
  </r>
  <r>
    <s v="Galgotiyas University"/>
    <x v="3"/>
    <s v="Sem 1"/>
    <s v="Batch 2024"/>
    <n v="2"/>
    <s v="3rd april"/>
    <s v="31st May"/>
    <s v="Jivanshu"/>
    <x v="1"/>
    <s v="Advanced Excel"/>
    <x v="1"/>
    <s v="Online"/>
    <s v="Blocked"/>
    <n v="180"/>
    <n v="1"/>
  </r>
  <r>
    <s v="Rajagiri College of Social Sciences"/>
    <x v="4"/>
    <s v="Sem 3"/>
    <s v="Batch 2024"/>
    <n v="1"/>
    <s v="26th may"/>
    <s v="31st May"/>
    <s v="Shalini and Bhavesh"/>
    <x v="0"/>
    <s v="DBMS-Projects"/>
    <x v="0"/>
    <s v="Offline"/>
    <s v="Weekly"/>
    <n v="90"/>
    <n v="2"/>
  </r>
  <r>
    <s v="Delhi University"/>
    <x v="0"/>
    <s v="Sem 6"/>
    <s v="Batch 2024"/>
    <n v="2"/>
    <s v="1st may"/>
    <s v="31st May"/>
    <s v="Sakshi"/>
    <x v="0"/>
    <s v="Coding"/>
    <x v="1"/>
    <s v="Offline"/>
    <s v="Weekly"/>
    <n v="180"/>
    <n v="1"/>
  </r>
  <r>
    <s v="Amity University"/>
    <x v="0"/>
    <s v="Sem 3"/>
    <s v="Batch 2024"/>
    <n v="1"/>
    <s v="15th may"/>
    <s v="31st May"/>
    <s v="Chirag"/>
    <x v="1"/>
    <s v="Advanced Analytics"/>
    <x v="0"/>
    <s v="Offline"/>
    <s v="Weekly"/>
    <n v="90"/>
    <n v="1"/>
  </r>
  <r>
    <s v="Guru Gobind Singh Indraprastha University"/>
    <x v="4"/>
    <s v="Sem 3"/>
    <s v="Batch 2024"/>
    <n v="2"/>
    <s v="1st may"/>
    <s v="31st May"/>
    <s v="Anjali"/>
    <x v="1"/>
    <s v="Advanced Excel"/>
    <x v="1"/>
    <s v="Online"/>
    <s v="Blocked"/>
    <n v="180"/>
    <n v="1"/>
  </r>
  <r>
    <s v="Guru Nanak Dev University"/>
    <x v="0"/>
    <s v="Sem 3"/>
    <s v="Batch 2024"/>
    <n v="1"/>
    <s v="21st may"/>
    <s v="31st May"/>
    <s v="Deepak"/>
    <x v="1"/>
    <s v="Advanced Excel"/>
    <x v="0"/>
    <s v="Online"/>
    <s v="Blocked"/>
    <n v="90"/>
    <n v="1"/>
  </r>
  <r>
    <s v="Galgotiyas University"/>
    <x v="4"/>
    <s v="Sem 3"/>
    <s v="Batch 2024"/>
    <n v="2"/>
    <s v="4th april"/>
    <s v="31st May"/>
    <s v="Jivanshu"/>
    <x v="1"/>
    <s v="Advanced Excel"/>
    <x v="1"/>
    <s v="Online"/>
    <s v="Blocked"/>
    <n v="180"/>
    <n v="1"/>
  </r>
  <r>
    <s v="Rajagiri College of Social Sciences"/>
    <x v="3"/>
    <s v="Sem 5"/>
    <s v="Batch 2024"/>
    <n v="1"/>
    <s v="26th may"/>
    <s v="31st May"/>
    <s v="Shalini and Bhavesh"/>
    <x v="0"/>
    <s v="DBMS-Projects"/>
    <x v="0"/>
    <s v="Offline"/>
    <s v="Weekly"/>
    <n v="90"/>
    <n v="2"/>
  </r>
  <r>
    <s v="Delhi University"/>
    <x v="5"/>
    <s v="Sem 5"/>
    <s v="Batch 2024"/>
    <n v="2"/>
    <s v="1st may"/>
    <s v="31st May"/>
    <s v="Sakshi"/>
    <x v="0"/>
    <s v="Coding"/>
    <x v="1"/>
    <s v="Offline"/>
    <s v="Weekly"/>
    <n v="180"/>
    <n v="1"/>
  </r>
  <r>
    <s v="Amity University"/>
    <x v="5"/>
    <s v="Sem 5"/>
    <s v="Batch 2024"/>
    <n v="1"/>
    <s v="15th may"/>
    <s v="31st May"/>
    <s v="Chirag"/>
    <x v="1"/>
    <s v="Advanced Analytics"/>
    <x v="0"/>
    <s v="Offline"/>
    <s v="Weekly"/>
    <n v="90"/>
    <n v="1"/>
  </r>
  <r>
    <s v="Guru Gobind Singh Indraprastha University"/>
    <x v="0"/>
    <s v="Sem 3"/>
    <s v="Batch 2024"/>
    <n v="2"/>
    <s v="1st may"/>
    <s v="31st May"/>
    <s v="Anjali"/>
    <x v="1"/>
    <s v="Advanced Excel"/>
    <x v="1"/>
    <s v="Online"/>
    <s v="Blocked"/>
    <n v="180"/>
    <n v="1"/>
  </r>
  <r>
    <s v="Guru Nanak Dev University"/>
    <x v="1"/>
    <s v="Sem 6"/>
    <s v="Batch 2024"/>
    <n v="1"/>
    <s v="21st may"/>
    <s v="31st May"/>
    <s v="Deepak"/>
    <x v="1"/>
    <s v="Advanced Excel"/>
    <x v="0"/>
    <s v="Online"/>
    <s v="Blocked"/>
    <n v="90"/>
    <n v="1"/>
  </r>
  <r>
    <s v="Galgotiyas University"/>
    <x v="2"/>
    <s v="Sem 1"/>
    <s v="Batch 2024"/>
    <n v="2"/>
    <s v="5th april"/>
    <s v="31st May"/>
    <s v="Jivanshu"/>
    <x v="1"/>
    <s v="Advanced Excel"/>
    <x v="1"/>
    <s v="Online"/>
    <s v="Blocked"/>
    <n v="180"/>
    <n v="1"/>
  </r>
  <r>
    <s v="Rajagiri College of Social Sciences"/>
    <x v="0"/>
    <s v="Sem 3"/>
    <s v="Batch 2024"/>
    <n v="1"/>
    <s v="26th may"/>
    <s v="31st May"/>
    <s v="Shalini and Bhavesh"/>
    <x v="0"/>
    <s v="DBMS-Projects"/>
    <x v="0"/>
    <s v="Offline"/>
    <s v="Weekly"/>
    <n v="90"/>
    <n v="2"/>
  </r>
  <r>
    <s v="Delhi University"/>
    <x v="1"/>
    <s v="Sem 4"/>
    <s v="Batch 2024"/>
    <n v="2"/>
    <s v="1st may"/>
    <s v="31st May"/>
    <s v="Sakshi"/>
    <x v="0"/>
    <s v="Coding"/>
    <x v="1"/>
    <s v="Offline"/>
    <s v="Weekly"/>
    <n v="180"/>
    <n v="1"/>
  </r>
  <r>
    <s v="Amity University"/>
    <x v="3"/>
    <s v="Sem 1"/>
    <s v="Batch 2024"/>
    <n v="1"/>
    <s v="15th may"/>
    <s v="31st May"/>
    <s v="Chirag"/>
    <x v="1"/>
    <s v="Advanced Analytics"/>
    <x v="0"/>
    <s v="Offline"/>
    <s v="Weekly"/>
    <n v="90"/>
    <n v="1"/>
  </r>
  <r>
    <s v="Guru Gobind Singh Indraprastha University"/>
    <x v="2"/>
    <s v="Sem 1"/>
    <s v="Batch 2024"/>
    <n v="2"/>
    <s v="1st may"/>
    <s v="31st May"/>
    <s v="Anjali"/>
    <x v="1"/>
    <s v="Advanced Excel"/>
    <x v="1"/>
    <s v="Online"/>
    <s v="Blocked"/>
    <n v="180"/>
    <n v="1"/>
  </r>
  <r>
    <s v="Guru Nanak Dev University"/>
    <x v="4"/>
    <s v="Sem 3"/>
    <s v="Batch 2024"/>
    <n v="1"/>
    <s v="21st may"/>
    <s v="31st May"/>
    <s v="Deepak"/>
    <x v="1"/>
    <s v="Advanced Excel"/>
    <x v="0"/>
    <s v="Online"/>
    <s v="Blocked"/>
    <n v="90"/>
    <n v="1"/>
  </r>
  <r>
    <s v="Galgotiyas University"/>
    <x v="0"/>
    <s v="Sem 4"/>
    <s v="Batch 2024"/>
    <n v="2"/>
    <s v="6th april"/>
    <s v="31st May"/>
    <s v="Jivanshu"/>
    <x v="1"/>
    <s v="Advanced Excel"/>
    <x v="1"/>
    <s v="Online"/>
    <s v="Blocked"/>
    <n v="180"/>
    <n v="1"/>
  </r>
  <r>
    <s v="Rajagiri College of Social Sciences"/>
    <x v="5"/>
    <s v="Sem 4"/>
    <s v="Batch 2024"/>
    <n v="1"/>
    <s v="26th may"/>
    <s v="31st May"/>
    <s v="Shalini and Bhavesh"/>
    <x v="0"/>
    <s v="DBMS-Projects"/>
    <x v="0"/>
    <s v="Offline"/>
    <s v="Weekly"/>
    <n v="90"/>
    <n v="2"/>
  </r>
  <r>
    <s v="Delhi University"/>
    <x v="1"/>
    <s v="Sem 5"/>
    <s v="Batch 2024"/>
    <n v="2"/>
    <s v="1st may"/>
    <s v="31st May"/>
    <s v="Sakshi"/>
    <x v="0"/>
    <s v="Coding"/>
    <x v="1"/>
    <s v="Offline"/>
    <s v="Weekly"/>
    <n v="180"/>
    <n v="1"/>
  </r>
  <r>
    <s v="Amity University"/>
    <x v="4"/>
    <s v="Sem 3"/>
    <s v="Batch 2024"/>
    <n v="1"/>
    <s v="15th may"/>
    <s v="31st May"/>
    <s v="Chirag"/>
    <x v="1"/>
    <s v="Advanced Analytics"/>
    <x v="0"/>
    <s v="Offline"/>
    <s v="Weekly"/>
    <n v="90"/>
    <n v="1"/>
  </r>
  <r>
    <s v="Guru Gobind Singh Indraprastha University"/>
    <x v="3"/>
    <s v="Sem 5"/>
    <s v="Batch 2024"/>
    <n v="2"/>
    <s v="1st may"/>
    <s v="31st May"/>
    <s v="Anjali"/>
    <x v="1"/>
    <s v="Advanced Excel"/>
    <x v="1"/>
    <s v="Online"/>
    <s v="Blocked"/>
    <n v="180"/>
    <n v="1"/>
  </r>
  <r>
    <s v="Guru Nanak Dev University"/>
    <x v="5"/>
    <s v="Sem 6"/>
    <s v="Batch 2024"/>
    <n v="1"/>
    <s v="21st may"/>
    <s v="31st May"/>
    <s v="Deepak"/>
    <x v="1"/>
    <s v="Advanced Excel"/>
    <x v="0"/>
    <s v="Online"/>
    <s v="Blocked"/>
    <n v="90"/>
    <n v="1"/>
  </r>
  <r>
    <s v="Galgotiyas University"/>
    <x v="4"/>
    <s v="Sem 3"/>
    <s v="Batch 2024"/>
    <n v="2"/>
    <s v="7th april"/>
    <s v="31st May"/>
    <s v="Jivanshu"/>
    <x v="1"/>
    <s v="Advanced Excel"/>
    <x v="1"/>
    <s v="Online"/>
    <s v="Blocked"/>
    <n v="180"/>
    <n v="1"/>
  </r>
  <r>
    <s v="Rajagiri College of Social Sciences"/>
    <x v="3"/>
    <s v="Sem 5"/>
    <s v="Batch 2024"/>
    <n v="1"/>
    <s v="26th may"/>
    <s v="31st May"/>
    <s v="Shalini and Bhavesh"/>
    <x v="0"/>
    <s v="DBMS-Projects"/>
    <x v="0"/>
    <s v="Offline"/>
    <s v="Weekly"/>
    <n v="90"/>
    <n v="2"/>
  </r>
  <r>
    <s v="Delhi University"/>
    <x v="2"/>
    <s v="Sem 5"/>
    <s v="Batch 2024"/>
    <n v="2"/>
    <s v="1st may"/>
    <m/>
    <s v="Sakshi"/>
    <x v="0"/>
    <s v="Coding"/>
    <x v="1"/>
    <s v="Offline"/>
    <s v="Weekly"/>
    <n v="180"/>
    <n v="1"/>
  </r>
  <r>
    <s v="Amity University"/>
    <x v="2"/>
    <s v="Sem 5"/>
    <s v="Batch 2024"/>
    <n v="1"/>
    <s v="15th may"/>
    <s v="31st May"/>
    <s v="Chirag"/>
    <x v="1"/>
    <s v="Advanced Analytics"/>
    <x v="0"/>
    <s v="Offline"/>
    <s v="Weekly"/>
    <n v="90"/>
    <n v="1"/>
  </r>
  <r>
    <s v="Guru Gobind Singh Indraprastha University"/>
    <x v="1"/>
    <s v="Sem 6"/>
    <s v="Batch 2024"/>
    <n v="2"/>
    <s v="1st may"/>
    <s v="31st May"/>
    <s v="Anjali"/>
    <x v="1"/>
    <s v="Advanced Excel"/>
    <x v="1"/>
    <s v="Online"/>
    <s v="Blocked"/>
    <n v="180"/>
    <n v="1"/>
  </r>
  <r>
    <s v="Guru Nanak Dev University"/>
    <x v="3"/>
    <s v="Sem 5"/>
    <s v="Batch 2024"/>
    <n v="1"/>
    <s v="21st may"/>
    <s v="31st May"/>
    <s v="Deepak"/>
    <x v="1"/>
    <s v="Advanced Excel"/>
    <x v="0"/>
    <s v="Online"/>
    <s v="Blocked"/>
    <n v="90"/>
    <n v="1"/>
  </r>
  <r>
    <s v="Galgotiyas University"/>
    <x v="5"/>
    <s v="Sem 6"/>
    <s v="Batch 2024"/>
    <n v="2"/>
    <s v="8th april"/>
    <s v="31st May"/>
    <s v="Jivanshu"/>
    <x v="1"/>
    <s v="Advanced Excel"/>
    <x v="1"/>
    <s v="Online"/>
    <s v="Blocked"/>
    <n v="180"/>
    <n v="1"/>
  </r>
  <r>
    <s v="Rajagiri College of Social Sciences"/>
    <x v="5"/>
    <s v="Sem 6"/>
    <s v="Batch 2024"/>
    <n v="1"/>
    <s v="26th may"/>
    <s v="31st May"/>
    <s v="Shalini and Bhavesh"/>
    <x v="0"/>
    <s v="DBMS-Projects"/>
    <x v="0"/>
    <s v="Offline"/>
    <s v="Weekly"/>
    <n v="90"/>
    <n v="2"/>
  </r>
  <r>
    <s v="Delhi University"/>
    <x v="3"/>
    <s v="Sem 5"/>
    <s v="Batch 2024"/>
    <n v="1"/>
    <s v="1st may"/>
    <s v="31st May"/>
    <s v="Sakshi"/>
    <x v="0"/>
    <s v="Coding"/>
    <x v="1"/>
    <s v="Offline"/>
    <s v="Weekly"/>
    <n v="9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454378-0405-4C8C-A703-A788B5BFD31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0:B52" firstHeaderRow="1" firstDataRow="2" firstDataCol="1"/>
  <pivotFields count="15">
    <pivotField showAll="0">
      <items count="7">
        <item x="2"/>
        <item x="1"/>
        <item x="5"/>
        <item x="3"/>
        <item x="4"/>
        <item x="0"/>
        <item t="default"/>
      </items>
    </pivotField>
    <pivotField axis="axisRow" showAll="0">
      <items count="8">
        <item x="5"/>
        <item x="0"/>
        <item m="1" x="6"/>
        <item x="1"/>
        <item x="4"/>
        <item x="2"/>
        <item x="3"/>
        <item t="default"/>
      </items>
    </pivotField>
    <pivotField dataField="1" showAll="0"/>
    <pivotField showAll="0"/>
    <pivotField numFmtId="1" showAll="0"/>
    <pivotField showAll="0"/>
    <pivotField showAll="0"/>
    <pivotField showAll="0">
      <items count="7">
        <item x="3"/>
        <item x="2"/>
        <item x="4"/>
        <item x="5"/>
        <item x="1"/>
        <item x="0"/>
        <item t="default"/>
      </items>
    </pivotField>
    <pivotField showAll="0"/>
    <pivotField axis="axisCol" showAll="0">
      <items count="5">
        <item x="2"/>
        <item h="1" x="3"/>
        <item h="1" x="1"/>
        <item h="1" x="0"/>
        <item t="default"/>
      </items>
    </pivotField>
    <pivotField showAll="0"/>
    <pivotField showAll="0"/>
    <pivotField showAll="0">
      <items count="3">
        <item x="1"/>
        <item h="1" x="0"/>
        <item t="default"/>
      </items>
    </pivotField>
    <pivotField showAll="0"/>
    <pivotField showAll="0"/>
  </pivotFields>
  <rowFields count="1">
    <field x="1"/>
  </rowFields>
  <rowItems count="1">
    <i t="grand">
      <x/>
    </i>
  </rowItems>
  <colFields count="1">
    <field x="9"/>
  </colFields>
  <colItems count="1">
    <i t="grand">
      <x/>
    </i>
  </colItems>
  <dataFields count="1">
    <dataField name="Count of Semester"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549EE7-6992-4EC6-85FE-2E733D5A010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61:B68" firstHeaderRow="1" firstDataRow="1" firstDataCol="1" rowPageCount="1" colPageCount="1"/>
  <pivotFields count="15">
    <pivotField axis="axisPage" multipleItemSelectionAllowed="1" showAll="0">
      <items count="7">
        <item x="2"/>
        <item x="1"/>
        <item x="5"/>
        <item x="3"/>
        <item x="4"/>
        <item x="0"/>
        <item t="default"/>
      </items>
    </pivotField>
    <pivotField axis="axisRow" showAll="0">
      <items count="8">
        <item x="5"/>
        <item x="0"/>
        <item m="1" x="6"/>
        <item x="1"/>
        <item x="4"/>
        <item x="2"/>
        <item x="3"/>
        <item t="default"/>
      </items>
    </pivotField>
    <pivotField showAll="0"/>
    <pivotField showAll="0"/>
    <pivotField numFmtId="1" showAll="0"/>
    <pivotField showAll="0"/>
    <pivotField showAll="0"/>
    <pivotField showAll="0">
      <items count="7">
        <item x="3"/>
        <item x="2"/>
        <item x="4"/>
        <item x="5"/>
        <item x="1"/>
        <item x="0"/>
        <item t="default"/>
      </items>
    </pivotField>
    <pivotField showAll="0"/>
    <pivotField showAll="0">
      <items count="5">
        <item x="2"/>
        <item x="3"/>
        <item x="1"/>
        <item x="0"/>
        <item t="default"/>
      </items>
    </pivotField>
    <pivotField showAll="0"/>
    <pivotField showAll="0"/>
    <pivotField showAll="0">
      <items count="3">
        <item x="1"/>
        <item h="1" x="0"/>
        <item t="default"/>
      </items>
    </pivotField>
    <pivotField dataField="1" showAll="0"/>
    <pivotField showAll="0"/>
  </pivotFields>
  <rowFields count="1">
    <field x="1"/>
  </rowFields>
  <rowItems count="7">
    <i>
      <x/>
    </i>
    <i>
      <x v="1"/>
    </i>
    <i>
      <x v="3"/>
    </i>
    <i>
      <x v="4"/>
    </i>
    <i>
      <x v="5"/>
    </i>
    <i>
      <x v="6"/>
    </i>
    <i t="grand">
      <x/>
    </i>
  </rowItems>
  <colItems count="1">
    <i/>
  </colItems>
  <pageFields count="1">
    <pageField fld="0" hier="-1"/>
  </pageFields>
  <dataFields count="1">
    <dataField name="Sum of No of students" fld="13"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B1F7AA-ED06-4356-BB5B-83B0AD1E331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1:B28" firstHeaderRow="1" firstDataRow="1" firstDataCol="1" rowPageCount="1" colPageCount="1"/>
  <pivotFields count="15">
    <pivotField axis="axisPage" multipleItemSelectionAllowed="1" showAll="0">
      <items count="7">
        <item x="2"/>
        <item x="1"/>
        <item x="5"/>
        <item x="3"/>
        <item x="4"/>
        <item x="0"/>
        <item t="default"/>
      </items>
    </pivotField>
    <pivotField axis="axisRow" showAll="0">
      <items count="8">
        <item x="5"/>
        <item x="0"/>
        <item m="1" x="6"/>
        <item x="1"/>
        <item x="4"/>
        <item x="2"/>
        <item x="3"/>
        <item t="default"/>
      </items>
    </pivotField>
    <pivotField showAll="0"/>
    <pivotField showAll="0"/>
    <pivotField dataField="1" numFmtId="1" showAll="0"/>
    <pivotField showAll="0"/>
    <pivotField showAll="0"/>
    <pivotField showAll="0">
      <items count="7">
        <item x="3"/>
        <item x="2"/>
        <item x="4"/>
        <item x="5"/>
        <item x="1"/>
        <item x="0"/>
        <item t="default"/>
      </items>
    </pivotField>
    <pivotField showAll="0"/>
    <pivotField showAll="0">
      <items count="5">
        <item x="2"/>
        <item x="3"/>
        <item x="1"/>
        <item x="0"/>
        <item t="default"/>
      </items>
    </pivotField>
    <pivotField showAll="0"/>
    <pivotField showAll="0"/>
    <pivotField showAll="0">
      <items count="3">
        <item x="1"/>
        <item h="1" x="0"/>
        <item t="default"/>
      </items>
    </pivotField>
    <pivotField showAll="0"/>
    <pivotField showAll="0"/>
  </pivotFields>
  <rowFields count="1">
    <field x="1"/>
  </rowFields>
  <rowItems count="7">
    <i>
      <x/>
    </i>
    <i>
      <x v="1"/>
    </i>
    <i>
      <x v="3"/>
    </i>
    <i>
      <x v="4"/>
    </i>
    <i>
      <x v="5"/>
    </i>
    <i>
      <x v="6"/>
    </i>
    <i t="grand">
      <x/>
    </i>
  </rowItems>
  <colItems count="1">
    <i/>
  </colItems>
  <pageFields count="1">
    <pageField fld="0" hier="-1"/>
  </pageFields>
  <dataFields count="1">
    <dataField name="Sum of No. of batches" fld="4"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3"/>
          </reference>
        </references>
      </pivotArea>
    </chartFormat>
    <chartFormat chart="0" format="4">
      <pivotArea type="data" outline="0" fieldPosition="0">
        <references count="2">
          <reference field="4294967294" count="1" selected="0">
            <x v="0"/>
          </reference>
          <reference field="1" count="1" selected="0">
            <x v="4"/>
          </reference>
        </references>
      </pivotArea>
    </chartFormat>
    <chartFormat chart="0" format="5">
      <pivotArea type="data" outline="0" fieldPosition="0">
        <references count="2">
          <reference field="4294967294" count="1" selected="0">
            <x v="0"/>
          </reference>
          <reference field="1" count="1" selected="0">
            <x v="5"/>
          </reference>
        </references>
      </pivotArea>
    </chartFormat>
    <chartFormat chart="0" format="6">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515615-3626-401C-B494-230D7781ECE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2:C40" firstHeaderRow="1" firstDataRow="2" firstDataCol="1" rowPageCount="1" colPageCount="1"/>
  <pivotFields count="15">
    <pivotField showAll="0">
      <items count="7">
        <item x="2"/>
        <item x="1"/>
        <item x="5"/>
        <item x="3"/>
        <item x="4"/>
        <item x="0"/>
        <item t="default"/>
      </items>
    </pivotField>
    <pivotField showAll="0">
      <items count="8">
        <item x="5"/>
        <item x="0"/>
        <item m="1" x="6"/>
        <item x="1"/>
        <item x="4"/>
        <item x="2"/>
        <item x="3"/>
        <item t="default"/>
      </items>
    </pivotField>
    <pivotField axis="axisRow" showAll="0">
      <items count="7">
        <item x="2"/>
        <item x="3"/>
        <item x="5"/>
        <item x="4"/>
        <item x="1"/>
        <item x="0"/>
        <item t="default"/>
      </items>
    </pivotField>
    <pivotField showAll="0">
      <items count="2">
        <item x="0"/>
        <item t="default"/>
      </items>
    </pivotField>
    <pivotField dataField="1" numFmtId="1" showAll="0"/>
    <pivotField showAll="0"/>
    <pivotField showAll="0"/>
    <pivotField axis="axisPage" multipleItemSelectionAllowed="1" showAll="0">
      <items count="7">
        <item x="3"/>
        <item x="2"/>
        <item x="4"/>
        <item x="5"/>
        <item x="1"/>
        <item x="0"/>
        <item t="default"/>
      </items>
    </pivotField>
    <pivotField showAll="0"/>
    <pivotField showAll="0">
      <items count="5">
        <item x="2"/>
        <item x="3"/>
        <item x="1"/>
        <item x="0"/>
        <item t="default"/>
      </items>
    </pivotField>
    <pivotField showAll="0"/>
    <pivotField axis="axisCol" showAll="0">
      <items count="3">
        <item x="0"/>
        <item x="1"/>
        <item t="default"/>
      </items>
    </pivotField>
    <pivotField showAll="0">
      <items count="3">
        <item x="1"/>
        <item h="1" x="0"/>
        <item t="default"/>
      </items>
    </pivotField>
    <pivotField showAll="0"/>
    <pivotField showAll="0">
      <items count="3">
        <item x="1"/>
        <item x="0"/>
        <item t="default"/>
      </items>
    </pivotField>
  </pivotFields>
  <rowFields count="1">
    <field x="2"/>
  </rowFields>
  <rowItems count="7">
    <i>
      <x/>
    </i>
    <i>
      <x v="1"/>
    </i>
    <i>
      <x v="2"/>
    </i>
    <i>
      <x v="3"/>
    </i>
    <i>
      <x v="4"/>
    </i>
    <i>
      <x v="5"/>
    </i>
    <i t="grand">
      <x/>
    </i>
  </rowItems>
  <colFields count="1">
    <field x="11"/>
  </colFields>
  <colItems count="2">
    <i>
      <x v="1"/>
    </i>
    <i t="grand">
      <x/>
    </i>
  </colItems>
  <pageFields count="1">
    <pageField fld="7" hier="-1"/>
  </pageFields>
  <dataFields count="1">
    <dataField name="Sum of No. of batches" fld="4" baseField="0" baseItem="0"/>
  </dataFields>
  <chartFormats count="5">
    <chartFormat chart="0" format="3" series="1">
      <pivotArea type="data" outline="0" fieldPosition="0">
        <references count="1">
          <reference field="11" count="1" selected="0">
            <x v="0"/>
          </reference>
        </references>
      </pivotArea>
    </chartFormat>
    <chartFormat chart="0" format="4" series="1">
      <pivotArea type="data" outline="0" fieldPosition="0">
        <references count="1">
          <reference field="11" count="1" selected="0">
            <x v="1"/>
          </reference>
        </references>
      </pivotArea>
    </chartFormat>
    <chartFormat chart="0" format="9" series="1">
      <pivotArea type="data" outline="0" fieldPosition="0">
        <references count="1">
          <reference field="4294967294" count="1" selected="0">
            <x v="0"/>
          </reference>
        </references>
      </pivotArea>
    </chartFormat>
    <chartFormat chart="0" format="10" series="1">
      <pivotArea type="data" outline="0" fieldPosition="0">
        <references count="2">
          <reference field="4294967294" count="1" selected="0">
            <x v="0"/>
          </reference>
          <reference field="11" count="1" selected="0">
            <x v="1"/>
          </reference>
        </references>
      </pivotArea>
    </chartFormat>
    <chartFormat chart="0" format="12" series="1">
      <pivotArea type="data" outline="0" fieldPosition="0">
        <references count="2">
          <reference field="4294967294" count="1" selected="0">
            <x v="0"/>
          </reference>
          <reference field="1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DAF78E-9E95-45E4-9306-A95E03F5745F}" name="No. of students per cour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rowPageCount="1" colPageCount="1"/>
  <pivotFields count="15">
    <pivotField showAll="0">
      <items count="7">
        <item x="2"/>
        <item x="1"/>
        <item x="5"/>
        <item x="3"/>
        <item x="4"/>
        <item x="0"/>
        <item t="default"/>
      </items>
    </pivotField>
    <pivotField axis="axisPage" multipleItemSelectionAllowed="1" showAll="0">
      <items count="8">
        <item x="5"/>
        <item x="0"/>
        <item m="1" x="6"/>
        <item x="1"/>
        <item x="4"/>
        <item x="2"/>
        <item x="3"/>
        <item t="default"/>
      </items>
    </pivotField>
    <pivotField showAll="0"/>
    <pivotField showAll="0"/>
    <pivotField numFmtId="1" showAll="0"/>
    <pivotField showAll="0"/>
    <pivotField showAll="0"/>
    <pivotField showAll="0">
      <items count="7">
        <item x="3"/>
        <item x="2"/>
        <item x="4"/>
        <item x="5"/>
        <item x="1"/>
        <item x="0"/>
        <item t="default"/>
      </items>
    </pivotField>
    <pivotField showAll="0"/>
    <pivotField axis="axisRow" showAll="0">
      <items count="5">
        <item x="2"/>
        <item x="3"/>
        <item x="1"/>
        <item x="0"/>
        <item t="default"/>
      </items>
    </pivotField>
    <pivotField showAll="0"/>
    <pivotField showAll="0"/>
    <pivotField showAll="0">
      <items count="3">
        <item x="1"/>
        <item h="1" x="0"/>
        <item t="default"/>
      </items>
    </pivotField>
    <pivotField dataField="1" showAll="0"/>
    <pivotField showAll="0"/>
  </pivotFields>
  <rowFields count="1">
    <field x="9"/>
  </rowFields>
  <rowItems count="2">
    <i>
      <x v="1"/>
    </i>
    <i t="grand">
      <x/>
    </i>
  </rowItems>
  <colItems count="1">
    <i/>
  </colItems>
  <pageFields count="1">
    <pageField fld="1" hier="-1"/>
  </pageFields>
  <dataFields count="1">
    <dataField name="Sum of No of student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D0785E1-D28C-4E9C-A4D2-6C9EF75631EE}"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5">
  <location ref="A100:B104" firstHeaderRow="1" firstDataRow="1" firstDataCol="1"/>
  <pivotFields count="15">
    <pivotField axis="axisRow" showAll="0">
      <items count="7">
        <item x="2"/>
        <item x="1"/>
        <item x="5"/>
        <item x="3"/>
        <item x="4"/>
        <item x="0"/>
        <item t="default"/>
      </items>
    </pivotField>
    <pivotField showAll="0">
      <items count="8">
        <item x="5"/>
        <item x="0"/>
        <item m="1" x="6"/>
        <item x="1"/>
        <item x="4"/>
        <item x="2"/>
        <item x="3"/>
        <item t="default"/>
      </items>
    </pivotField>
    <pivotField showAll="0"/>
    <pivotField showAll="0">
      <items count="2">
        <item x="0"/>
        <item t="default"/>
      </items>
    </pivotField>
    <pivotField dataField="1" numFmtId="1" showAll="0">
      <items count="3">
        <item x="0"/>
        <item x="1"/>
        <item t="default"/>
      </items>
    </pivotField>
    <pivotField showAll="0"/>
    <pivotField showAll="0"/>
    <pivotField showAll="0">
      <items count="7">
        <item x="3"/>
        <item x="2"/>
        <item x="4"/>
        <item x="5"/>
        <item x="1"/>
        <item x="0"/>
        <item t="default"/>
      </items>
    </pivotField>
    <pivotField showAll="0">
      <items count="3">
        <item x="0"/>
        <item x="1"/>
        <item t="default"/>
      </items>
    </pivotField>
    <pivotField showAll="0">
      <items count="5">
        <item x="2"/>
        <item x="3"/>
        <item x="1"/>
        <item x="0"/>
        <item t="default"/>
      </items>
    </pivotField>
    <pivotField showAll="0">
      <items count="3">
        <item x="0"/>
        <item x="1"/>
        <item t="default"/>
      </items>
    </pivotField>
    <pivotField showAll="0"/>
    <pivotField showAll="0">
      <items count="3">
        <item x="1"/>
        <item h="1" x="0"/>
        <item t="default"/>
      </items>
    </pivotField>
    <pivotField showAll="0"/>
    <pivotField showAll="0"/>
  </pivotFields>
  <rowFields count="1">
    <field x="0"/>
  </rowFields>
  <rowItems count="4">
    <i>
      <x v="2"/>
    </i>
    <i>
      <x v="3"/>
    </i>
    <i>
      <x v="4"/>
    </i>
    <i t="grand">
      <x/>
    </i>
  </rowItems>
  <colItems count="1">
    <i/>
  </colItems>
  <dataFields count="1">
    <dataField name="Sum of No. of batches" fld="4" baseField="0" baseItem="0"/>
  </dataFields>
  <chartFormats count="3">
    <chartFormat chart="3" format="14" series="1">
      <pivotArea type="data" outline="0" fieldPosition="0">
        <references count="1">
          <reference field="4294967294" count="1" selected="0">
            <x v="0"/>
          </reference>
        </references>
      </pivotArea>
    </chartFormat>
    <chartFormat chart="0" format="8" series="1">
      <pivotArea type="data" outline="0" fieldPosition="0">
        <references count="1">
          <reference field="4294967294" count="1" selected="0">
            <x v="0"/>
          </reference>
        </references>
      </pivotArea>
    </chartFormat>
    <chartFormat chart="11"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4034D0F-CA8E-40C3-8CCB-974AC09ECB15}"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77:D93" firstHeaderRow="1" firstDataRow="2" firstDataCol="1"/>
  <pivotFields count="15">
    <pivotField showAll="0"/>
    <pivotField axis="axisRow" showAll="0">
      <items count="7">
        <item x="5"/>
        <item x="0"/>
        <item x="1"/>
        <item x="4"/>
        <item x="2"/>
        <item x="3"/>
        <item t="default"/>
      </items>
    </pivotField>
    <pivotField showAll="0"/>
    <pivotField showAll="0"/>
    <pivotField dataField="1" numFmtId="1" showAll="0"/>
    <pivotField showAll="0"/>
    <pivotField showAll="0"/>
    <pivotField showAll="0"/>
    <pivotField axis="axisRow" showAll="0">
      <items count="3">
        <item x="0"/>
        <item x="1"/>
        <item t="default"/>
      </items>
    </pivotField>
    <pivotField showAll="0"/>
    <pivotField axis="axisCol" showAll="0">
      <items count="3">
        <item x="0"/>
        <item x="1"/>
        <item t="default"/>
      </items>
    </pivotField>
    <pivotField showAll="0"/>
    <pivotField showAll="0"/>
    <pivotField showAll="0"/>
    <pivotField showAll="0"/>
  </pivotFields>
  <rowFields count="2">
    <field x="8"/>
    <field x="1"/>
  </rowFields>
  <rowItems count="15">
    <i>
      <x/>
    </i>
    <i r="1">
      <x/>
    </i>
    <i r="1">
      <x v="1"/>
    </i>
    <i r="1">
      <x v="2"/>
    </i>
    <i r="1">
      <x v="3"/>
    </i>
    <i r="1">
      <x v="4"/>
    </i>
    <i r="1">
      <x v="5"/>
    </i>
    <i>
      <x v="1"/>
    </i>
    <i r="1">
      <x/>
    </i>
    <i r="1">
      <x v="1"/>
    </i>
    <i r="1">
      <x v="2"/>
    </i>
    <i r="1">
      <x v="3"/>
    </i>
    <i r="1">
      <x v="4"/>
    </i>
    <i r="1">
      <x v="5"/>
    </i>
    <i t="grand">
      <x/>
    </i>
  </rowItems>
  <colFields count="1">
    <field x="10"/>
  </colFields>
  <colItems count="3">
    <i>
      <x/>
    </i>
    <i>
      <x v="1"/>
    </i>
    <i t="grand">
      <x/>
    </i>
  </colItems>
  <dataFields count="1">
    <dataField name="Sum of No. of batches" fld="4" baseField="0" baseItem="0"/>
  </dataFields>
  <chartFormats count="4">
    <chartFormat chart="2" format="4" series="1">
      <pivotArea type="data" outline="0" fieldPosition="0">
        <references count="2">
          <reference field="4294967294" count="1" selected="0">
            <x v="0"/>
          </reference>
          <reference field="10" count="1" selected="0">
            <x v="0"/>
          </reference>
        </references>
      </pivotArea>
    </chartFormat>
    <chartFormat chart="2" format="5" series="1">
      <pivotArea type="data" outline="0" fieldPosition="0">
        <references count="2">
          <reference field="4294967294" count="1" selected="0">
            <x v="0"/>
          </reference>
          <reference field="10" count="1" selected="0">
            <x v="1"/>
          </reference>
        </references>
      </pivotArea>
    </chartFormat>
    <chartFormat chart="7" format="6" series="1">
      <pivotArea type="data" outline="0" fieldPosition="0">
        <references count="2">
          <reference field="4294967294" count="1" selected="0">
            <x v="0"/>
          </reference>
          <reference field="10" count="1" selected="0">
            <x v="0"/>
          </reference>
        </references>
      </pivotArea>
    </chartFormat>
    <chartFormat chart="7" format="7"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gram" xr10:uid="{BE350574-14FA-41A8-9632-696BB9A08EC8}" sourceName="Program">
  <pivotTables>
    <pivotTable tabId="3" name="No. of students per course"/>
    <pivotTable tabId="3" name="PivotTable4"/>
    <pivotTable tabId="3" name="PivotTable6"/>
    <pivotTable tabId="3" name="PivotTable7"/>
    <pivotTable tabId="3" name="PivotTable8"/>
    <pivotTable tabId="3" name="PivotTable1"/>
  </pivotTables>
  <data>
    <tabular pivotCacheId="181144419">
      <items count="7">
        <i x="5" s="1"/>
        <i x="0" s="1"/>
        <i x="1" s="1"/>
        <i x="4" s="1"/>
        <i x="2" s="1"/>
        <i x="3" s="1"/>
        <i x="6"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versity" xr10:uid="{60F313B5-B69C-4C51-9625-808610E72217}" sourceName="University ">
  <pivotTables>
    <pivotTable tabId="3" name="PivotTable4"/>
    <pivotTable tabId="3" name="No. of students per course"/>
    <pivotTable tabId="3" name="PivotTable6"/>
    <pivotTable tabId="3" name="PivotTable7"/>
    <pivotTable tabId="3" name="PivotTable8"/>
    <pivotTable tabId="3" name="PivotTable1"/>
  </pivotTables>
  <data>
    <tabular pivotCacheId="181144419">
      <items count="6">
        <i x="5" s="1"/>
        <i x="3" s="1"/>
        <i x="4" s="1"/>
        <i x="2" s="1" nd="1"/>
        <i x="1" s="1" nd="1"/>
        <i x="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ly__Blocked" xr10:uid="{BFE9FCF1-0377-4FE5-A90D-D94C1030831A}" sourceName="Weekly/ Blocked">
  <pivotTables>
    <pivotTable tabId="3" name="PivotTable8"/>
    <pivotTable tabId="3" name="No. of students per course"/>
    <pivotTable tabId="3" name="PivotTable4"/>
    <pivotTable tabId="3" name="PivotTable6"/>
    <pivotTable tabId="3" name="PivotTable7"/>
    <pivotTable tabId="3" name="PivotTable1"/>
  </pivotTables>
  <data>
    <tabular pivotCacheId="181144419">
      <items count="2">
        <i x="1" s="1"/>
        <i x="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ses__Name_of_the_paper" xr10:uid="{07ABCA05-69AA-48D4-84DB-0B7FFEB04F22}" sourceName="Courses/ Name of the paper">
  <pivotTables>
    <pivotTable tabId="3" name="PivotTable1"/>
    <pivotTable tabId="3" name="No. of students per course"/>
    <pivotTable tabId="3" name="PivotTable4"/>
    <pivotTable tabId="3" name="PivotTable6"/>
    <pivotTable tabId="3" name="PivotTable8"/>
  </pivotTables>
  <data>
    <tabular pivotCacheId="181144419">
      <items count="4">
        <i x="3" s="1"/>
        <i x="2" s="1" nd="1"/>
        <i x="1" s="1" nd="1"/>
        <i x="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gram" xr10:uid="{74A10354-6DD5-45CF-8949-A743BB77BFB8}" cache="Slicer_Program" caption="Program" rowHeight="257175"/>
  <slicer name="University " xr10:uid="{7BDE0A59-6065-4A74-A5A4-B99EF2E0C778}" cache="Slicer_University" caption="University " rowHeight="257175"/>
  <slicer name="Weekly/ Blocked" xr10:uid="{B8F0E95B-2925-4405-BBFE-E52D6BE731CF}" cache="Slicer_Weekly__Blocked" caption="Weekly/ Blocked" rowHeight="257175"/>
  <slicer name="Courses/ Name of the paper" xr10:uid="{405DC2E4-CBFF-469A-B4B4-7B3A7E970700}" cache="Slicer_Courses__Name_of_the_paper" caption="Courses/ Name of the paper"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00B4E-6031-4E5A-B576-6CCB6F64ABFE}">
  <dimension ref="A1:O71"/>
  <sheetViews>
    <sheetView tabSelected="1" workbookViewId="0"/>
  </sheetViews>
  <sheetFormatPr defaultColWidth="25.7265625" defaultRowHeight="14.5" x14ac:dyDescent="0.35"/>
  <cols>
    <col min="11" max="11" width="11.26953125" bestFit="1" customWidth="1"/>
    <col min="12" max="12" width="14.1796875" bestFit="1" customWidth="1"/>
    <col min="13" max="13" width="16.26953125" bestFit="1" customWidth="1"/>
    <col min="14" max="14" width="14.1796875" style="8" bestFit="1" customWidth="1"/>
    <col min="15" max="15" width="8.7265625" style="8" bestFit="1" customWidth="1"/>
  </cols>
  <sheetData>
    <row r="1" spans="1:15" ht="29" x14ac:dyDescent="0.35">
      <c r="A1" s="1" t="s">
        <v>0</v>
      </c>
      <c r="B1" s="2" t="s">
        <v>1</v>
      </c>
      <c r="C1" s="1" t="s">
        <v>2</v>
      </c>
      <c r="D1" s="1" t="s">
        <v>3</v>
      </c>
      <c r="E1" s="1" t="s">
        <v>4</v>
      </c>
      <c r="F1" s="1" t="s">
        <v>5</v>
      </c>
      <c r="G1" s="1" t="s">
        <v>6</v>
      </c>
      <c r="H1" s="1" t="s">
        <v>7</v>
      </c>
      <c r="I1" s="1" t="s">
        <v>8</v>
      </c>
      <c r="J1" s="1" t="s">
        <v>9</v>
      </c>
      <c r="K1" s="1" t="s">
        <v>10</v>
      </c>
      <c r="L1" s="1" t="s">
        <v>11</v>
      </c>
      <c r="M1" s="1" t="s">
        <v>12</v>
      </c>
      <c r="N1" s="1" t="s">
        <v>13</v>
      </c>
      <c r="O1" s="1" t="s">
        <v>14</v>
      </c>
    </row>
    <row r="2" spans="1:15" ht="29" x14ac:dyDescent="0.35">
      <c r="A2" s="3" t="s">
        <v>15</v>
      </c>
      <c r="B2" s="4" t="s">
        <v>16</v>
      </c>
      <c r="C2" s="3" t="s">
        <v>17</v>
      </c>
      <c r="D2" s="3" t="s">
        <v>18</v>
      </c>
      <c r="E2" s="5">
        <v>1</v>
      </c>
      <c r="F2" s="3" t="s">
        <v>22</v>
      </c>
      <c r="G2" s="6" t="s">
        <v>19</v>
      </c>
      <c r="H2" s="3" t="str" cm="1">
        <f t="array" ref="H2">_xlfn.IFS(
A2="Rajagiri College of Social Sciences", "Shalini and Bhavesh",
A2="Delhi University", "Sakshi",
A2="Amity University", "Chirag",
A2="Guru Gobind Singh Indraprastha University", "Anjali",
A2="Galgotiyas University", "Jivanshu",
A2="Guru Nanak Dev University", "Deepak")</f>
        <v>Shalini and Bhavesh</v>
      </c>
      <c r="I2" s="7" t="str">
        <f t="shared" ref="I2:I33" si="0">IF(J2="Advanced Excel","48",IF(J2="Advanced Analytics","48","35"))</f>
        <v>35</v>
      </c>
      <c r="J2" s="7" t="str">
        <f>IF(H2="Chirag","Advanced Analytics",IF(H2="Shalini and Bhavesh","DBMS-Projects",IF(H2="Sakshi","Coding","Advanced Excel")))</f>
        <v>DBMS-Projects</v>
      </c>
      <c r="K2" s="3" t="str">
        <f>IF(I2=35,7,"7")</f>
        <v>7</v>
      </c>
      <c r="L2" s="7" t="str">
        <f t="shared" ref="L2:L33" si="1">IF(J2="Advanced Excel","Online","Offline")</f>
        <v>Offline</v>
      </c>
      <c r="M2" s="3" t="str">
        <f>IF(L2="Offline","Weekly","Blocked")</f>
        <v>Weekly</v>
      </c>
      <c r="N2" s="7">
        <f t="shared" ref="N2:N33" si="2">IF(E2=2, 180,90)</f>
        <v>90</v>
      </c>
      <c r="O2" s="7">
        <f t="shared" ref="O2:O33" si="3">IF(A2="Rajagiri College of Social Sciences",2,1)</f>
        <v>2</v>
      </c>
    </row>
    <row r="3" spans="1:15" x14ac:dyDescent="0.35">
      <c r="A3" s="8" t="s">
        <v>20</v>
      </c>
      <c r="B3" s="9" t="s">
        <v>21</v>
      </c>
      <c r="C3" s="6" t="s">
        <v>17</v>
      </c>
      <c r="D3" s="6" t="s">
        <v>18</v>
      </c>
      <c r="E3" s="10">
        <v>2</v>
      </c>
      <c r="F3" s="8" t="s">
        <v>22</v>
      </c>
      <c r="G3" s="6" t="s">
        <v>23</v>
      </c>
      <c r="H3" s="3" t="str" cm="1">
        <f t="array" ref="H3">_xlfn.IFS(
A3="Rajagiri College of Social Sciences", "Shalini and Bhavesh",
A3="Delhi University", "Sakshi",
A3="Amity University", "Chirag",
A3="Guru Gobind Singh Indraprastha University", "Anjali",
A3="Galgotiyas University", "Jivanshu",
A3="Guru Nanak Dev University", "Deepak")</f>
        <v>Sakshi</v>
      </c>
      <c r="I3" s="8" t="str">
        <f t="shared" si="0"/>
        <v>35</v>
      </c>
      <c r="J3" s="7" t="str">
        <f t="shared" ref="J3:J51" si="4">IF(H3="Chirag","Advanced Analytics",IF(H3="Shalini and Bhavesh","DBMS-Projects",IF(H3="Sakshi","Coding","Advanced Excel")))</f>
        <v>Coding</v>
      </c>
      <c r="K3" s="8" t="str">
        <f>IF(I3=48,8,"8")</f>
        <v>8</v>
      </c>
      <c r="L3" s="8" t="str">
        <f t="shared" si="1"/>
        <v>Offline</v>
      </c>
      <c r="M3" s="3" t="str">
        <f t="shared" ref="M3:M51" si="5">IF(L3="Offline","Weekly","Blocked")</f>
        <v>Weekly</v>
      </c>
      <c r="N3" s="8">
        <f t="shared" si="2"/>
        <v>180</v>
      </c>
      <c r="O3" s="8">
        <f t="shared" si="3"/>
        <v>1</v>
      </c>
    </row>
    <row r="4" spans="1:15" x14ac:dyDescent="0.35">
      <c r="A4" s="8" t="s">
        <v>24</v>
      </c>
      <c r="B4" s="9" t="s">
        <v>25</v>
      </c>
      <c r="C4" s="6" t="s">
        <v>26</v>
      </c>
      <c r="D4" s="6" t="s">
        <v>18</v>
      </c>
      <c r="E4" s="10">
        <v>1</v>
      </c>
      <c r="F4" s="8" t="s">
        <v>27</v>
      </c>
      <c r="G4" s="6" t="s">
        <v>23</v>
      </c>
      <c r="H4" s="3" t="str" cm="1">
        <f t="array" ref="H4">_xlfn.IFS(
A4="Rajagiri College of Social Sciences", "Shalini and Bhavesh",
A4="Delhi University", "Sakshi",
A4="Amity University", "Chirag",
A4="Guru Gobind Singh Indraprastha University", "Anjali",
A4="Galgotiyas University", "Jivanshu",
A4="Guru Nanak Dev University", "Deepak")</f>
        <v>Chirag</v>
      </c>
      <c r="I4" s="8" t="str">
        <f t="shared" si="0"/>
        <v>48</v>
      </c>
      <c r="J4" s="7" t="str">
        <f t="shared" si="4"/>
        <v>Advanced Analytics</v>
      </c>
      <c r="K4" s="3" t="str">
        <f>IF(I4=35,7,"7")</f>
        <v>7</v>
      </c>
      <c r="L4" s="8" t="str">
        <f t="shared" si="1"/>
        <v>Offline</v>
      </c>
      <c r="M4" s="3" t="str">
        <f t="shared" si="5"/>
        <v>Weekly</v>
      </c>
      <c r="N4" s="8">
        <f t="shared" si="2"/>
        <v>90</v>
      </c>
      <c r="O4" s="8">
        <f t="shared" si="3"/>
        <v>1</v>
      </c>
    </row>
    <row r="5" spans="1:15" ht="29" x14ac:dyDescent="0.35">
      <c r="A5" s="8" t="s">
        <v>28</v>
      </c>
      <c r="B5" s="9" t="s">
        <v>21</v>
      </c>
      <c r="C5" s="6" t="s">
        <v>26</v>
      </c>
      <c r="D5" s="6" t="s">
        <v>18</v>
      </c>
      <c r="E5" s="10">
        <v>2</v>
      </c>
      <c r="F5" s="8" t="s">
        <v>22</v>
      </c>
      <c r="G5" s="6" t="s">
        <v>23</v>
      </c>
      <c r="H5" s="3" t="str" cm="1">
        <f t="array" ref="H5">_xlfn.IFS(
A5="Rajagiri College of Social Sciences", "Shalini and Bhavesh",
A5="Delhi University", "Sakshi",
A5="Amity University", "Chirag",
A5="Guru Gobind Singh Indraprastha University", "Anjali",
A5="Galgotiyas University", "Jivanshu",
A5="Guru Nanak Dev University", "Deepak")</f>
        <v>Anjali</v>
      </c>
      <c r="I5" s="8" t="str">
        <f t="shared" si="0"/>
        <v>48</v>
      </c>
      <c r="J5" s="7" t="str">
        <f t="shared" si="4"/>
        <v>Advanced Excel</v>
      </c>
      <c r="K5" s="8" t="str">
        <f>IF(I5=48,8,"8")</f>
        <v>8</v>
      </c>
      <c r="L5" s="8" t="str">
        <f t="shared" si="1"/>
        <v>Online</v>
      </c>
      <c r="M5" s="3" t="str">
        <f t="shared" si="5"/>
        <v>Blocked</v>
      </c>
      <c r="N5" s="8">
        <f t="shared" si="2"/>
        <v>180</v>
      </c>
      <c r="O5" s="8">
        <f t="shared" si="3"/>
        <v>1</v>
      </c>
    </row>
    <row r="6" spans="1:15" x14ac:dyDescent="0.35">
      <c r="A6" s="8" t="s">
        <v>30</v>
      </c>
      <c r="B6" s="9" t="s">
        <v>25</v>
      </c>
      <c r="C6" s="6" t="s">
        <v>29</v>
      </c>
      <c r="D6" s="6" t="s">
        <v>18</v>
      </c>
      <c r="E6" s="10">
        <v>1</v>
      </c>
      <c r="F6" s="8" t="s">
        <v>31</v>
      </c>
      <c r="G6" s="6" t="s">
        <v>23</v>
      </c>
      <c r="H6" s="3" t="str" cm="1">
        <f t="array" ref="H6">_xlfn.IFS(
A6="Rajagiri College of Social Sciences", "Shalini and Bhavesh",
A6="Delhi University", "Sakshi",
A6="Amity University", "Chirag",
A6="Guru Gobind Singh Indraprastha University", "Anjali",
A6="Galgotiyas University", "Jivanshu",
A6="Guru Nanak Dev University", "Deepak")</f>
        <v>Deepak</v>
      </c>
      <c r="I6" s="8" t="str">
        <f t="shared" si="0"/>
        <v>48</v>
      </c>
      <c r="J6" s="7" t="str">
        <f t="shared" si="4"/>
        <v>Advanced Excel</v>
      </c>
      <c r="K6" s="3" t="str">
        <f>IF(I6=35,7,"7")</f>
        <v>7</v>
      </c>
      <c r="L6" s="8" t="str">
        <f t="shared" si="1"/>
        <v>Online</v>
      </c>
      <c r="M6" s="3" t="str">
        <f t="shared" si="5"/>
        <v>Blocked</v>
      </c>
      <c r="N6" s="8">
        <f t="shared" si="2"/>
        <v>90</v>
      </c>
      <c r="O6" s="8">
        <f t="shared" si="3"/>
        <v>1</v>
      </c>
    </row>
    <row r="7" spans="1:15" x14ac:dyDescent="0.35">
      <c r="A7" s="11" t="s">
        <v>32</v>
      </c>
      <c r="B7" s="9" t="s">
        <v>33</v>
      </c>
      <c r="C7" s="6" t="s">
        <v>34</v>
      </c>
      <c r="D7" s="6" t="s">
        <v>18</v>
      </c>
      <c r="E7" s="10">
        <v>2</v>
      </c>
      <c r="F7" s="11" t="s">
        <v>35</v>
      </c>
      <c r="G7" s="6" t="s">
        <v>23</v>
      </c>
      <c r="H7" s="3" t="str" cm="1">
        <f t="array" ref="H7">_xlfn.IFS(
A7="Rajagiri College of Social Sciences", "Shalini and Bhavesh",
A7="Delhi University", "Sakshi",
A7="Amity University", "Chirag",
A7="Guru Gobind Singh Indraprastha University", "Anjali",
A7="Galgotiyas University", "Jivanshu",
A7="Guru Nanak Dev University", "Deepak")</f>
        <v>Jivanshu</v>
      </c>
      <c r="I7" s="7" t="str">
        <f t="shared" si="0"/>
        <v>48</v>
      </c>
      <c r="J7" s="7" t="str">
        <f t="shared" si="4"/>
        <v>Advanced Excel</v>
      </c>
      <c r="K7" s="8" t="str">
        <f>IF(I7=48,8,"8")</f>
        <v>8</v>
      </c>
      <c r="L7" s="7" t="str">
        <f t="shared" si="1"/>
        <v>Online</v>
      </c>
      <c r="M7" s="3" t="str">
        <f t="shared" si="5"/>
        <v>Blocked</v>
      </c>
      <c r="N7" s="7">
        <f t="shared" si="2"/>
        <v>180</v>
      </c>
      <c r="O7" s="7">
        <f t="shared" si="3"/>
        <v>1</v>
      </c>
    </row>
    <row r="8" spans="1:15" ht="29" x14ac:dyDescent="0.35">
      <c r="A8" s="6" t="s">
        <v>15</v>
      </c>
      <c r="B8" s="9" t="s">
        <v>21</v>
      </c>
      <c r="C8" s="6" t="s">
        <v>17</v>
      </c>
      <c r="D8" s="6" t="s">
        <v>18</v>
      </c>
      <c r="E8" s="10">
        <v>1</v>
      </c>
      <c r="F8" s="6" t="s">
        <v>36</v>
      </c>
      <c r="G8" s="6" t="s">
        <v>23</v>
      </c>
      <c r="H8" s="3" t="str" cm="1">
        <f t="array" ref="H8">_xlfn.IFS(
A8="Rajagiri College of Social Sciences", "Shalini and Bhavesh",
A8="Delhi University", "Sakshi",
A8="Amity University", "Chirag",
A8="Guru Gobind Singh Indraprastha University", "Anjali",
A8="Galgotiyas University", "Jivanshu",
A8="Guru Nanak Dev University", "Deepak")</f>
        <v>Shalini and Bhavesh</v>
      </c>
      <c r="I8" s="7" t="str">
        <f t="shared" si="0"/>
        <v>35</v>
      </c>
      <c r="J8" s="7" t="str">
        <f t="shared" si="4"/>
        <v>DBMS-Projects</v>
      </c>
      <c r="K8" s="3" t="str">
        <f>IF(I8=35,7,"7")</f>
        <v>7</v>
      </c>
      <c r="L8" s="7" t="str">
        <f t="shared" si="1"/>
        <v>Offline</v>
      </c>
      <c r="M8" s="3" t="str">
        <f t="shared" si="5"/>
        <v>Weekly</v>
      </c>
      <c r="N8" s="7">
        <f t="shared" si="2"/>
        <v>90</v>
      </c>
      <c r="O8" s="7">
        <f t="shared" si="3"/>
        <v>2</v>
      </c>
    </row>
    <row r="9" spans="1:15" x14ac:dyDescent="0.35">
      <c r="A9" s="8" t="s">
        <v>20</v>
      </c>
      <c r="B9" s="9" t="s">
        <v>21</v>
      </c>
      <c r="C9" s="6" t="s">
        <v>26</v>
      </c>
      <c r="D9" s="6" t="s">
        <v>18</v>
      </c>
      <c r="E9" s="10">
        <v>2</v>
      </c>
      <c r="F9" s="8" t="s">
        <v>22</v>
      </c>
      <c r="G9" s="6" t="s">
        <v>23</v>
      </c>
      <c r="H9" s="3" t="str" cm="1">
        <f t="array" ref="H9">_xlfn.IFS(
A9="Rajagiri College of Social Sciences", "Shalini and Bhavesh",
A9="Delhi University", "Sakshi",
A9="Amity University", "Chirag",
A9="Guru Gobind Singh Indraprastha University", "Anjali",
A9="Galgotiyas University", "Jivanshu",
A9="Guru Nanak Dev University", "Deepak")</f>
        <v>Sakshi</v>
      </c>
      <c r="I9" s="8" t="str">
        <f t="shared" si="0"/>
        <v>35</v>
      </c>
      <c r="J9" s="7" t="str">
        <f t="shared" si="4"/>
        <v>Coding</v>
      </c>
      <c r="K9" s="8" t="str">
        <f>IF(I9=48,8,"8")</f>
        <v>8</v>
      </c>
      <c r="L9" s="8" t="str">
        <f t="shared" si="1"/>
        <v>Offline</v>
      </c>
      <c r="M9" s="3" t="str">
        <f t="shared" si="5"/>
        <v>Weekly</v>
      </c>
      <c r="N9" s="8">
        <f t="shared" si="2"/>
        <v>180</v>
      </c>
      <c r="O9" s="8">
        <f t="shared" si="3"/>
        <v>1</v>
      </c>
    </row>
    <row r="10" spans="1:15" x14ac:dyDescent="0.35">
      <c r="A10" s="8" t="s">
        <v>24</v>
      </c>
      <c r="B10" s="9" t="s">
        <v>25</v>
      </c>
      <c r="C10" s="6" t="s">
        <v>29</v>
      </c>
      <c r="D10" s="6" t="s">
        <v>18</v>
      </c>
      <c r="E10" s="10">
        <v>1</v>
      </c>
      <c r="F10" s="8" t="s">
        <v>27</v>
      </c>
      <c r="G10" s="6" t="s">
        <v>23</v>
      </c>
      <c r="H10" s="3" t="str" cm="1">
        <f t="array" ref="H10">_xlfn.IFS(
A10="Rajagiri College of Social Sciences", "Shalini and Bhavesh",
A10="Delhi University", "Sakshi",
A10="Amity University", "Chirag",
A10="Guru Gobind Singh Indraprastha University", "Anjali",
A10="Galgotiyas University", "Jivanshu",
A10="Guru Nanak Dev University", "Deepak")</f>
        <v>Chirag</v>
      </c>
      <c r="I10" s="8" t="str">
        <f t="shared" si="0"/>
        <v>48</v>
      </c>
      <c r="J10" s="7" t="str">
        <f t="shared" si="4"/>
        <v>Advanced Analytics</v>
      </c>
      <c r="K10" s="3" t="str">
        <f>IF(I10=35,7,"7")</f>
        <v>7</v>
      </c>
      <c r="L10" s="8" t="str">
        <f t="shared" si="1"/>
        <v>Offline</v>
      </c>
      <c r="M10" s="3" t="str">
        <f t="shared" si="5"/>
        <v>Weekly</v>
      </c>
      <c r="N10" s="8">
        <f t="shared" si="2"/>
        <v>90</v>
      </c>
      <c r="O10" s="8">
        <f t="shared" si="3"/>
        <v>1</v>
      </c>
    </row>
    <row r="11" spans="1:15" ht="29" x14ac:dyDescent="0.35">
      <c r="A11" s="8" t="s">
        <v>28</v>
      </c>
      <c r="B11" s="9" t="s">
        <v>21</v>
      </c>
      <c r="C11" s="6" t="s">
        <v>54</v>
      </c>
      <c r="D11" s="6" t="s">
        <v>18</v>
      </c>
      <c r="E11" s="10">
        <v>2</v>
      </c>
      <c r="F11" s="8" t="s">
        <v>22</v>
      </c>
      <c r="G11" s="6" t="s">
        <v>23</v>
      </c>
      <c r="H11" s="3" t="str" cm="1">
        <f t="array" ref="H11">_xlfn.IFS(
A11="Rajagiri College of Social Sciences", "Shalini and Bhavesh",
A11="Delhi University", "Sakshi",
A11="Amity University", "Chirag",
A11="Guru Gobind Singh Indraprastha University", "Anjali",
A11="Galgotiyas University", "Jivanshu",
A11="Guru Nanak Dev University", "Deepak")</f>
        <v>Anjali</v>
      </c>
      <c r="I11" s="8" t="str">
        <f t="shared" si="0"/>
        <v>48</v>
      </c>
      <c r="J11" s="7" t="str">
        <f t="shared" si="4"/>
        <v>Advanced Excel</v>
      </c>
      <c r="K11" s="8" t="str">
        <f>IF(I11=48,8,"8")</f>
        <v>8</v>
      </c>
      <c r="L11" s="8" t="str">
        <f t="shared" si="1"/>
        <v>Online</v>
      </c>
      <c r="M11" s="3" t="str">
        <f t="shared" si="5"/>
        <v>Blocked</v>
      </c>
      <c r="N11" s="8">
        <f t="shared" si="2"/>
        <v>180</v>
      </c>
      <c r="O11" s="8">
        <f t="shared" si="3"/>
        <v>1</v>
      </c>
    </row>
    <row r="12" spans="1:15" x14ac:dyDescent="0.35">
      <c r="A12" s="8" t="s">
        <v>30</v>
      </c>
      <c r="B12" s="9" t="s">
        <v>25</v>
      </c>
      <c r="C12" s="6" t="s">
        <v>29</v>
      </c>
      <c r="D12" s="6" t="s">
        <v>18</v>
      </c>
      <c r="E12" s="10">
        <v>1</v>
      </c>
      <c r="F12" s="8" t="s">
        <v>31</v>
      </c>
      <c r="G12" s="6" t="s">
        <v>23</v>
      </c>
      <c r="H12" s="3" t="str" cm="1">
        <f t="array" ref="H12">_xlfn.IFS(
A12="Rajagiri College of Social Sciences", "Shalini and Bhavesh",
A12="Delhi University", "Sakshi",
A12="Amity University", "Chirag",
A12="Guru Gobind Singh Indraprastha University", "Anjali",
A12="Galgotiyas University", "Jivanshu",
A12="Guru Nanak Dev University", "Deepak")</f>
        <v>Deepak</v>
      </c>
      <c r="I12" s="8" t="str">
        <f t="shared" si="0"/>
        <v>48</v>
      </c>
      <c r="J12" s="7" t="str">
        <f t="shared" si="4"/>
        <v>Advanced Excel</v>
      </c>
      <c r="K12" s="3" t="str">
        <f>IF(I12=35,7,"7")</f>
        <v>7</v>
      </c>
      <c r="L12" s="8" t="str">
        <f t="shared" si="1"/>
        <v>Online</v>
      </c>
      <c r="M12" s="3" t="str">
        <f t="shared" si="5"/>
        <v>Blocked</v>
      </c>
      <c r="N12" s="8">
        <f t="shared" si="2"/>
        <v>90</v>
      </c>
      <c r="O12" s="8">
        <f t="shared" si="3"/>
        <v>1</v>
      </c>
    </row>
    <row r="13" spans="1:15" x14ac:dyDescent="0.35">
      <c r="A13" s="12" t="s">
        <v>32</v>
      </c>
      <c r="B13" s="9" t="s">
        <v>25</v>
      </c>
      <c r="C13" s="6" t="s">
        <v>29</v>
      </c>
      <c r="D13" s="6" t="s">
        <v>18</v>
      </c>
      <c r="E13" s="10">
        <v>2</v>
      </c>
      <c r="F13" s="12" t="s">
        <v>37</v>
      </c>
      <c r="G13" s="6" t="s">
        <v>23</v>
      </c>
      <c r="H13" s="3" t="str" cm="1">
        <f t="array" ref="H13">_xlfn.IFS(
A13="Rajagiri College of Social Sciences", "Shalini and Bhavesh",
A13="Delhi University", "Sakshi",
A13="Amity University", "Chirag",
A13="Guru Gobind Singh Indraprastha University", "Anjali",
A13="Galgotiyas University", "Jivanshu",
A13="Guru Nanak Dev University", "Deepak")</f>
        <v>Jivanshu</v>
      </c>
      <c r="I13" s="8" t="str">
        <f t="shared" si="0"/>
        <v>48</v>
      </c>
      <c r="J13" s="7" t="str">
        <f t="shared" si="4"/>
        <v>Advanced Excel</v>
      </c>
      <c r="K13" s="8" t="str">
        <f>IF(I13=48,8,"8")</f>
        <v>8</v>
      </c>
      <c r="L13" s="8" t="str">
        <f t="shared" si="1"/>
        <v>Online</v>
      </c>
      <c r="M13" s="3" t="str">
        <f t="shared" si="5"/>
        <v>Blocked</v>
      </c>
      <c r="N13" s="8">
        <f t="shared" si="2"/>
        <v>180</v>
      </c>
      <c r="O13" s="8">
        <f t="shared" si="3"/>
        <v>1</v>
      </c>
    </row>
    <row r="14" spans="1:15" ht="29" x14ac:dyDescent="0.35">
      <c r="A14" s="6" t="s">
        <v>15</v>
      </c>
      <c r="B14" s="9" t="s">
        <v>21</v>
      </c>
      <c r="C14" s="6" t="s">
        <v>54</v>
      </c>
      <c r="D14" s="6" t="s">
        <v>18</v>
      </c>
      <c r="E14" s="10">
        <v>1</v>
      </c>
      <c r="F14" s="6" t="s">
        <v>36</v>
      </c>
      <c r="G14" s="6" t="s">
        <v>23</v>
      </c>
      <c r="H14" s="3" t="str" cm="1">
        <f t="array" ref="H14">_xlfn.IFS(
A14="Rajagiri College of Social Sciences", "Shalini and Bhavesh",
A14="Delhi University", "Sakshi",
A14="Amity University", "Chirag",
A14="Guru Gobind Singh Indraprastha University", "Anjali",
A14="Galgotiyas University", "Jivanshu",
A14="Guru Nanak Dev University", "Deepak")</f>
        <v>Shalini and Bhavesh</v>
      </c>
      <c r="I14" s="8" t="str">
        <f t="shared" si="0"/>
        <v>35</v>
      </c>
      <c r="J14" s="7" t="str">
        <f t="shared" si="4"/>
        <v>DBMS-Projects</v>
      </c>
      <c r="K14" s="3" t="str">
        <f>IF(I14=35,7,"7")</f>
        <v>7</v>
      </c>
      <c r="L14" s="8" t="str">
        <f t="shared" si="1"/>
        <v>Offline</v>
      </c>
      <c r="M14" s="3" t="str">
        <f t="shared" si="5"/>
        <v>Weekly</v>
      </c>
      <c r="N14" s="8">
        <f t="shared" si="2"/>
        <v>90</v>
      </c>
      <c r="O14" s="8">
        <f t="shared" si="3"/>
        <v>2</v>
      </c>
    </row>
    <row r="15" spans="1:15" x14ac:dyDescent="0.35">
      <c r="A15" s="8" t="s">
        <v>20</v>
      </c>
      <c r="B15" s="9" t="s">
        <v>16</v>
      </c>
      <c r="C15" s="6" t="s">
        <v>17</v>
      </c>
      <c r="D15" s="6" t="s">
        <v>18</v>
      </c>
      <c r="E15" s="10">
        <v>2</v>
      </c>
      <c r="F15" s="8" t="s">
        <v>22</v>
      </c>
      <c r="G15" s="6" t="s">
        <v>23</v>
      </c>
      <c r="H15" s="3" t="str" cm="1">
        <f t="array" ref="H15">_xlfn.IFS(
A15="Rajagiri College of Social Sciences", "Shalini and Bhavesh",
A15="Delhi University", "Sakshi",
A15="Amity University", "Chirag",
A15="Guru Gobind Singh Indraprastha University", "Anjali",
A15="Galgotiyas University", "Jivanshu",
A15="Guru Nanak Dev University", "Deepak")</f>
        <v>Sakshi</v>
      </c>
      <c r="I15" s="8" t="str">
        <f t="shared" si="0"/>
        <v>35</v>
      </c>
      <c r="J15" s="7" t="str">
        <f t="shared" si="4"/>
        <v>Coding</v>
      </c>
      <c r="K15" s="8" t="str">
        <f>IF(I15=48,8,"8")</f>
        <v>8</v>
      </c>
      <c r="L15" s="8" t="str">
        <f t="shared" si="1"/>
        <v>Offline</v>
      </c>
      <c r="M15" s="3" t="str">
        <f t="shared" si="5"/>
        <v>Weekly</v>
      </c>
      <c r="N15" s="8">
        <f t="shared" si="2"/>
        <v>180</v>
      </c>
      <c r="O15" s="8">
        <f t="shared" si="3"/>
        <v>1</v>
      </c>
    </row>
    <row r="16" spans="1:15" x14ac:dyDescent="0.35">
      <c r="A16" s="8" t="s">
        <v>24</v>
      </c>
      <c r="B16" s="9" t="s">
        <v>33</v>
      </c>
      <c r="C16" s="6" t="s">
        <v>29</v>
      </c>
      <c r="D16" s="6" t="s">
        <v>18</v>
      </c>
      <c r="E16" s="10">
        <v>1</v>
      </c>
      <c r="F16" s="8" t="s">
        <v>27</v>
      </c>
      <c r="G16" s="6" t="s">
        <v>23</v>
      </c>
      <c r="H16" s="3" t="str" cm="1">
        <f t="array" ref="H16">_xlfn.IFS(
A16="Rajagiri College of Social Sciences", "Shalini and Bhavesh",
A16="Delhi University", "Sakshi",
A16="Amity University", "Chirag",
A16="Guru Gobind Singh Indraprastha University", "Anjali",
A16="Galgotiyas University", "Jivanshu",
A16="Guru Nanak Dev University", "Deepak")</f>
        <v>Chirag</v>
      </c>
      <c r="I16" s="8" t="str">
        <f t="shared" si="0"/>
        <v>48</v>
      </c>
      <c r="J16" s="7" t="str">
        <f t="shared" si="4"/>
        <v>Advanced Analytics</v>
      </c>
      <c r="K16" s="3" t="str">
        <f>IF(I16=35,7,"7")</f>
        <v>7</v>
      </c>
      <c r="L16" s="8" t="str">
        <f t="shared" si="1"/>
        <v>Offline</v>
      </c>
      <c r="M16" s="3" t="str">
        <f t="shared" si="5"/>
        <v>Weekly</v>
      </c>
      <c r="N16" s="8">
        <f t="shared" si="2"/>
        <v>90</v>
      </c>
      <c r="O16" s="8">
        <f t="shared" si="3"/>
        <v>1</v>
      </c>
    </row>
    <row r="17" spans="1:15" ht="29" x14ac:dyDescent="0.35">
      <c r="A17" s="8" t="s">
        <v>28</v>
      </c>
      <c r="B17" s="9" t="s">
        <v>38</v>
      </c>
      <c r="C17" s="6" t="s">
        <v>39</v>
      </c>
      <c r="D17" s="6" t="s">
        <v>18</v>
      </c>
      <c r="E17" s="10">
        <v>2</v>
      </c>
      <c r="F17" s="8" t="s">
        <v>22</v>
      </c>
      <c r="G17" s="6" t="s">
        <v>23</v>
      </c>
      <c r="H17" s="3" t="str" cm="1">
        <f t="array" ref="H17">_xlfn.IFS(
A17="Rajagiri College of Social Sciences", "Shalini and Bhavesh",
A17="Delhi University", "Sakshi",
A17="Amity University", "Chirag",
A17="Guru Gobind Singh Indraprastha University", "Anjali",
A17="Galgotiyas University", "Jivanshu",
A17="Guru Nanak Dev University", "Deepak")</f>
        <v>Anjali</v>
      </c>
      <c r="I17" s="8" t="str">
        <f t="shared" si="0"/>
        <v>48</v>
      </c>
      <c r="J17" s="7" t="str">
        <f t="shared" si="4"/>
        <v>Advanced Excel</v>
      </c>
      <c r="K17" s="8" t="str">
        <f>IF(I17=48,8,"8")</f>
        <v>8</v>
      </c>
      <c r="L17" s="8" t="str">
        <f t="shared" si="1"/>
        <v>Online</v>
      </c>
      <c r="M17" s="3" t="str">
        <f t="shared" si="5"/>
        <v>Blocked</v>
      </c>
      <c r="N17" s="8">
        <f t="shared" si="2"/>
        <v>180</v>
      </c>
      <c r="O17" s="8">
        <f t="shared" si="3"/>
        <v>1</v>
      </c>
    </row>
    <row r="18" spans="1:15" x14ac:dyDescent="0.35">
      <c r="A18" s="8" t="s">
        <v>30</v>
      </c>
      <c r="B18" s="9" t="s">
        <v>16</v>
      </c>
      <c r="C18" s="6" t="s">
        <v>39</v>
      </c>
      <c r="D18" s="6" t="s">
        <v>18</v>
      </c>
      <c r="E18" s="10">
        <v>1</v>
      </c>
      <c r="F18" s="8" t="s">
        <v>31</v>
      </c>
      <c r="G18" s="6" t="s">
        <v>23</v>
      </c>
      <c r="H18" s="3" t="str" cm="1">
        <f t="array" ref="H18">_xlfn.IFS(
A18="Rajagiri College of Social Sciences", "Shalini and Bhavesh",
A18="Delhi University", "Sakshi",
A18="Amity University", "Chirag",
A18="Guru Gobind Singh Indraprastha University", "Anjali",
A18="Galgotiyas University", "Jivanshu",
A18="Guru Nanak Dev University", "Deepak")</f>
        <v>Deepak</v>
      </c>
      <c r="I18" s="8" t="str">
        <f t="shared" si="0"/>
        <v>48</v>
      </c>
      <c r="J18" s="7" t="str">
        <f t="shared" si="4"/>
        <v>Advanced Excel</v>
      </c>
      <c r="K18" s="3" t="str">
        <f>IF(I18=35,7,"7")</f>
        <v>7</v>
      </c>
      <c r="L18" s="8" t="str">
        <f t="shared" si="1"/>
        <v>Online</v>
      </c>
      <c r="M18" s="3" t="str">
        <f t="shared" si="5"/>
        <v>Blocked</v>
      </c>
      <c r="N18" s="8">
        <f t="shared" si="2"/>
        <v>90</v>
      </c>
      <c r="O18" s="8">
        <f t="shared" si="3"/>
        <v>1</v>
      </c>
    </row>
    <row r="19" spans="1:15" x14ac:dyDescent="0.35">
      <c r="A19" s="11" t="s">
        <v>32</v>
      </c>
      <c r="B19" s="9" t="s">
        <v>33</v>
      </c>
      <c r="C19" s="6" t="s">
        <v>29</v>
      </c>
      <c r="D19" s="6" t="s">
        <v>18</v>
      </c>
      <c r="E19" s="10">
        <v>2</v>
      </c>
      <c r="F19" s="12" t="s">
        <v>40</v>
      </c>
      <c r="G19" s="6" t="s">
        <v>23</v>
      </c>
      <c r="H19" s="3" t="str" cm="1">
        <f t="array" ref="H19">_xlfn.IFS(
A19="Rajagiri College of Social Sciences", "Shalini and Bhavesh",
A19="Delhi University", "Sakshi",
A19="Amity University", "Chirag",
A19="Guru Gobind Singh Indraprastha University", "Anjali",
A19="Galgotiyas University", "Jivanshu",
A19="Guru Nanak Dev University", "Deepak")</f>
        <v>Jivanshu</v>
      </c>
      <c r="I19" s="7" t="str">
        <f t="shared" si="0"/>
        <v>48</v>
      </c>
      <c r="J19" s="7" t="str">
        <f t="shared" si="4"/>
        <v>Advanced Excel</v>
      </c>
      <c r="K19" s="8" t="str">
        <f>IF(I19=48,8,"8")</f>
        <v>8</v>
      </c>
      <c r="L19" s="7" t="str">
        <f t="shared" si="1"/>
        <v>Online</v>
      </c>
      <c r="M19" s="3" t="str">
        <f t="shared" si="5"/>
        <v>Blocked</v>
      </c>
      <c r="N19" s="7">
        <f t="shared" si="2"/>
        <v>180</v>
      </c>
      <c r="O19" s="7">
        <f t="shared" si="3"/>
        <v>1</v>
      </c>
    </row>
    <row r="20" spans="1:15" ht="29" x14ac:dyDescent="0.35">
      <c r="A20" s="6" t="s">
        <v>15</v>
      </c>
      <c r="B20" s="9" t="s">
        <v>38</v>
      </c>
      <c r="C20" s="6" t="s">
        <v>39</v>
      </c>
      <c r="D20" s="6" t="s">
        <v>18</v>
      </c>
      <c r="E20" s="10">
        <v>1</v>
      </c>
      <c r="F20" s="6" t="s">
        <v>36</v>
      </c>
      <c r="G20" s="6" t="s">
        <v>23</v>
      </c>
      <c r="H20" s="3" t="str" cm="1">
        <f t="array" ref="H20">_xlfn.IFS(
A20="Rajagiri College of Social Sciences", "Shalini and Bhavesh",
A20="Delhi University", "Sakshi",
A20="Amity University", "Chirag",
A20="Guru Gobind Singh Indraprastha University", "Anjali",
A20="Galgotiyas University", "Jivanshu",
A20="Guru Nanak Dev University", "Deepak")</f>
        <v>Shalini and Bhavesh</v>
      </c>
      <c r="I20" s="8" t="str">
        <f t="shared" si="0"/>
        <v>35</v>
      </c>
      <c r="J20" s="7" t="str">
        <f t="shared" si="4"/>
        <v>DBMS-Projects</v>
      </c>
      <c r="K20" s="3" t="str">
        <f>IF(I20=35,7,"7")</f>
        <v>7</v>
      </c>
      <c r="L20" s="8" t="str">
        <f t="shared" si="1"/>
        <v>Offline</v>
      </c>
      <c r="M20" s="3" t="str">
        <f t="shared" si="5"/>
        <v>Weekly</v>
      </c>
      <c r="N20" s="8">
        <f t="shared" si="2"/>
        <v>90</v>
      </c>
      <c r="O20" s="8">
        <f t="shared" si="3"/>
        <v>2</v>
      </c>
    </row>
    <row r="21" spans="1:15" x14ac:dyDescent="0.35">
      <c r="A21" s="8" t="s">
        <v>20</v>
      </c>
      <c r="B21" s="9" t="s">
        <v>16</v>
      </c>
      <c r="C21" s="6" t="s">
        <v>17</v>
      </c>
      <c r="D21" s="6" t="s">
        <v>18</v>
      </c>
      <c r="E21" s="10">
        <v>2</v>
      </c>
      <c r="F21" s="7" t="s">
        <v>22</v>
      </c>
      <c r="G21" s="6" t="s">
        <v>23</v>
      </c>
      <c r="H21" s="3" t="str" cm="1">
        <f t="array" ref="H21">_xlfn.IFS(
A21="Rajagiri College of Social Sciences", "Shalini and Bhavesh",
A21="Delhi University", "Sakshi",
A21="Amity University", "Chirag",
A21="Guru Gobind Singh Indraprastha University", "Anjali",
A21="Galgotiyas University", "Jivanshu",
A21="Guru Nanak Dev University", "Deepak")</f>
        <v>Sakshi</v>
      </c>
      <c r="I21" s="8" t="str">
        <f t="shared" si="0"/>
        <v>35</v>
      </c>
      <c r="J21" s="7" t="str">
        <f t="shared" si="4"/>
        <v>Coding</v>
      </c>
      <c r="K21" s="8" t="str">
        <f>IF(I21=48,8,"8")</f>
        <v>8</v>
      </c>
      <c r="L21" s="8" t="str">
        <f t="shared" si="1"/>
        <v>Offline</v>
      </c>
      <c r="M21" s="3" t="str">
        <f t="shared" si="5"/>
        <v>Weekly</v>
      </c>
      <c r="N21" s="8">
        <f t="shared" si="2"/>
        <v>180</v>
      </c>
      <c r="O21" s="8">
        <f t="shared" si="3"/>
        <v>1</v>
      </c>
    </row>
    <row r="22" spans="1:15" x14ac:dyDescent="0.35">
      <c r="A22" s="8" t="s">
        <v>24</v>
      </c>
      <c r="B22" s="9" t="s">
        <v>16</v>
      </c>
      <c r="C22" s="6" t="s">
        <v>39</v>
      </c>
      <c r="D22" s="6" t="s">
        <v>18</v>
      </c>
      <c r="E22" s="10">
        <v>1</v>
      </c>
      <c r="F22" s="7" t="s">
        <v>27</v>
      </c>
      <c r="G22" s="6" t="s">
        <v>23</v>
      </c>
      <c r="H22" s="3" t="str" cm="1">
        <f t="array" ref="H22">_xlfn.IFS(
A22="Rajagiri College of Social Sciences", "Shalini and Bhavesh",
A22="Delhi University", "Sakshi",
A22="Amity University", "Chirag",
A22="Guru Gobind Singh Indraprastha University", "Anjali",
A22="Galgotiyas University", "Jivanshu",
A22="Guru Nanak Dev University", "Deepak")</f>
        <v>Chirag</v>
      </c>
      <c r="I22" s="8" t="str">
        <f t="shared" si="0"/>
        <v>48</v>
      </c>
      <c r="J22" s="7" t="str">
        <f t="shared" si="4"/>
        <v>Advanced Analytics</v>
      </c>
      <c r="K22" s="3" t="str">
        <f>IF(I22=35,7,"7")</f>
        <v>7</v>
      </c>
      <c r="L22" s="8" t="str">
        <f t="shared" si="1"/>
        <v>Offline</v>
      </c>
      <c r="M22" s="3" t="str">
        <f t="shared" si="5"/>
        <v>Weekly</v>
      </c>
      <c r="N22" s="8">
        <f t="shared" si="2"/>
        <v>90</v>
      </c>
      <c r="O22" s="8">
        <f t="shared" si="3"/>
        <v>1</v>
      </c>
    </row>
    <row r="23" spans="1:15" ht="29" x14ac:dyDescent="0.35">
      <c r="A23" s="8" t="s">
        <v>28</v>
      </c>
      <c r="B23" s="9" t="s">
        <v>38</v>
      </c>
      <c r="C23" s="6" t="s">
        <v>39</v>
      </c>
      <c r="D23" s="6" t="s">
        <v>18</v>
      </c>
      <c r="E23" s="10">
        <v>2</v>
      </c>
      <c r="F23" s="8" t="s">
        <v>22</v>
      </c>
      <c r="G23" s="6" t="s">
        <v>23</v>
      </c>
      <c r="H23" s="3" t="str" cm="1">
        <f t="array" ref="H23">_xlfn.IFS(
A23="Rajagiri College of Social Sciences", "Shalini and Bhavesh",
A23="Delhi University", "Sakshi",
A23="Amity University", "Chirag",
A23="Guru Gobind Singh Indraprastha University", "Anjali",
A23="Galgotiyas University", "Jivanshu",
A23="Guru Nanak Dev University", "Deepak")</f>
        <v>Anjali</v>
      </c>
      <c r="I23" s="8" t="str">
        <f t="shared" si="0"/>
        <v>48</v>
      </c>
      <c r="J23" s="7" t="str">
        <f t="shared" si="4"/>
        <v>Advanced Excel</v>
      </c>
      <c r="K23" s="8" t="str">
        <f>IF(I23=48,8,"8")</f>
        <v>8</v>
      </c>
      <c r="L23" s="8" t="str">
        <f t="shared" si="1"/>
        <v>Online</v>
      </c>
      <c r="M23" s="3" t="str">
        <f t="shared" si="5"/>
        <v>Blocked</v>
      </c>
      <c r="N23" s="8">
        <f t="shared" si="2"/>
        <v>180</v>
      </c>
      <c r="O23" s="8">
        <f t="shared" si="3"/>
        <v>1</v>
      </c>
    </row>
    <row r="24" spans="1:15" x14ac:dyDescent="0.35">
      <c r="A24" s="8" t="s">
        <v>30</v>
      </c>
      <c r="B24" s="9" t="s">
        <v>16</v>
      </c>
      <c r="C24" s="6" t="s">
        <v>39</v>
      </c>
      <c r="D24" s="6" t="s">
        <v>18</v>
      </c>
      <c r="E24" s="10">
        <v>1</v>
      </c>
      <c r="F24" s="8" t="s">
        <v>31</v>
      </c>
      <c r="G24" s="6" t="s">
        <v>23</v>
      </c>
      <c r="H24" s="3" t="str" cm="1">
        <f t="array" ref="H24">_xlfn.IFS(
A24="Rajagiri College of Social Sciences", "Shalini and Bhavesh",
A24="Delhi University", "Sakshi",
A24="Amity University", "Chirag",
A24="Guru Gobind Singh Indraprastha University", "Anjali",
A24="Galgotiyas University", "Jivanshu",
A24="Guru Nanak Dev University", "Deepak")</f>
        <v>Deepak</v>
      </c>
      <c r="I24" s="8" t="str">
        <f t="shared" si="0"/>
        <v>48</v>
      </c>
      <c r="J24" s="7" t="str">
        <f t="shared" si="4"/>
        <v>Advanced Excel</v>
      </c>
      <c r="K24" s="3" t="str">
        <f>IF(I24=35,7,"7")</f>
        <v>7</v>
      </c>
      <c r="L24" s="8" t="str">
        <f t="shared" si="1"/>
        <v>Online</v>
      </c>
      <c r="M24" s="3" t="str">
        <f t="shared" si="5"/>
        <v>Blocked</v>
      </c>
      <c r="N24" s="8">
        <f t="shared" si="2"/>
        <v>90</v>
      </c>
      <c r="O24" s="8">
        <f t="shared" si="3"/>
        <v>1</v>
      </c>
    </row>
    <row r="25" spans="1:15" x14ac:dyDescent="0.35">
      <c r="A25" s="12" t="s">
        <v>32</v>
      </c>
      <c r="B25" s="9" t="s">
        <v>38</v>
      </c>
      <c r="C25" s="6" t="s">
        <v>39</v>
      </c>
      <c r="D25" s="6" t="s">
        <v>18</v>
      </c>
      <c r="E25" s="10">
        <v>2</v>
      </c>
      <c r="F25" s="12" t="s">
        <v>41</v>
      </c>
      <c r="G25" s="6" t="s">
        <v>23</v>
      </c>
      <c r="H25" s="3" t="str" cm="1">
        <f t="array" ref="H25">_xlfn.IFS(
A25="Rajagiri College of Social Sciences", "Shalini and Bhavesh",
A25="Delhi University", "Sakshi",
A25="Amity University", "Chirag",
A25="Guru Gobind Singh Indraprastha University", "Anjali",
A25="Galgotiyas University", "Jivanshu",
A25="Guru Nanak Dev University", "Deepak")</f>
        <v>Jivanshu</v>
      </c>
      <c r="I25" s="8" t="str">
        <f t="shared" si="0"/>
        <v>48</v>
      </c>
      <c r="J25" s="7" t="str">
        <f t="shared" si="4"/>
        <v>Advanced Excel</v>
      </c>
      <c r="K25" s="8" t="str">
        <f>IF(I25=48,8,"8")</f>
        <v>8</v>
      </c>
      <c r="L25" s="8" t="str">
        <f t="shared" si="1"/>
        <v>Online</v>
      </c>
      <c r="M25" s="3" t="str">
        <f t="shared" si="5"/>
        <v>Blocked</v>
      </c>
      <c r="N25" s="8">
        <f t="shared" si="2"/>
        <v>180</v>
      </c>
      <c r="O25" s="8">
        <f t="shared" si="3"/>
        <v>1</v>
      </c>
    </row>
    <row r="26" spans="1:15" ht="29" x14ac:dyDescent="0.35">
      <c r="A26" s="6" t="s">
        <v>15</v>
      </c>
      <c r="B26" s="9" t="s">
        <v>33</v>
      </c>
      <c r="C26" s="6" t="s">
        <v>26</v>
      </c>
      <c r="D26" s="6" t="s">
        <v>18</v>
      </c>
      <c r="E26" s="10">
        <v>1</v>
      </c>
      <c r="F26" s="6" t="s">
        <v>36</v>
      </c>
      <c r="G26" s="6" t="s">
        <v>23</v>
      </c>
      <c r="H26" s="3" t="str" cm="1">
        <f t="array" ref="H26">_xlfn.IFS(
A26="Rajagiri College of Social Sciences", "Shalini and Bhavesh",
A26="Delhi University", "Sakshi",
A26="Amity University", "Chirag",
A26="Guru Gobind Singh Indraprastha University", "Anjali",
A26="Galgotiyas University", "Jivanshu",
A26="Guru Nanak Dev University", "Deepak")</f>
        <v>Shalini and Bhavesh</v>
      </c>
      <c r="I26" s="8" t="str">
        <f t="shared" si="0"/>
        <v>35</v>
      </c>
      <c r="J26" s="7" t="str">
        <f t="shared" si="4"/>
        <v>DBMS-Projects</v>
      </c>
      <c r="K26" s="3" t="str">
        <f>IF(I26=35,7,"7")</f>
        <v>7</v>
      </c>
      <c r="L26" s="8" t="str">
        <f t="shared" si="1"/>
        <v>Offline</v>
      </c>
      <c r="M26" s="3" t="str">
        <f t="shared" si="5"/>
        <v>Weekly</v>
      </c>
      <c r="N26" s="8">
        <f t="shared" si="2"/>
        <v>90</v>
      </c>
      <c r="O26" s="8">
        <f t="shared" si="3"/>
        <v>2</v>
      </c>
    </row>
    <row r="27" spans="1:15" x14ac:dyDescent="0.35">
      <c r="A27" s="7" t="s">
        <v>20</v>
      </c>
      <c r="B27" s="9" t="s">
        <v>42</v>
      </c>
      <c r="C27" s="6" t="s">
        <v>26</v>
      </c>
      <c r="D27" s="6" t="s">
        <v>18</v>
      </c>
      <c r="E27" s="10">
        <v>2</v>
      </c>
      <c r="F27" s="7" t="s">
        <v>22</v>
      </c>
      <c r="G27" s="6" t="s">
        <v>23</v>
      </c>
      <c r="H27" s="3" t="str" cm="1">
        <f t="array" ref="H27">_xlfn.IFS(
A27="Rajagiri College of Social Sciences", "Shalini and Bhavesh",
A27="Delhi University", "Sakshi",
A27="Amity University", "Chirag",
A27="Guru Gobind Singh Indraprastha University", "Anjali",
A27="Galgotiyas University", "Jivanshu",
A27="Guru Nanak Dev University", "Deepak")</f>
        <v>Sakshi</v>
      </c>
      <c r="I27" s="7" t="str">
        <f t="shared" si="0"/>
        <v>35</v>
      </c>
      <c r="J27" s="7" t="str">
        <f t="shared" si="4"/>
        <v>Coding</v>
      </c>
      <c r="K27" s="8" t="str">
        <f>IF(I27=48,8,"8")</f>
        <v>8</v>
      </c>
      <c r="L27" s="7" t="str">
        <f t="shared" si="1"/>
        <v>Offline</v>
      </c>
      <c r="M27" s="3" t="str">
        <f t="shared" si="5"/>
        <v>Weekly</v>
      </c>
      <c r="N27" s="7">
        <f t="shared" si="2"/>
        <v>180</v>
      </c>
      <c r="O27" s="7">
        <f t="shared" si="3"/>
        <v>1</v>
      </c>
    </row>
    <row r="28" spans="1:15" x14ac:dyDescent="0.35">
      <c r="A28" s="7" t="s">
        <v>24</v>
      </c>
      <c r="B28" s="9" t="s">
        <v>42</v>
      </c>
      <c r="C28" s="6" t="s">
        <v>26</v>
      </c>
      <c r="D28" s="6" t="s">
        <v>18</v>
      </c>
      <c r="E28" s="10">
        <v>1</v>
      </c>
      <c r="F28" s="7" t="s">
        <v>27</v>
      </c>
      <c r="G28" s="6" t="s">
        <v>23</v>
      </c>
      <c r="H28" s="3" t="str" cm="1">
        <f t="array" ref="H28">_xlfn.IFS(
A28="Rajagiri College of Social Sciences", "Shalini and Bhavesh",
A28="Delhi University", "Sakshi",
A28="Amity University", "Chirag",
A28="Guru Gobind Singh Indraprastha University", "Anjali",
A28="Galgotiyas University", "Jivanshu",
A28="Guru Nanak Dev University", "Deepak")</f>
        <v>Chirag</v>
      </c>
      <c r="I28" s="7" t="str">
        <f t="shared" si="0"/>
        <v>48</v>
      </c>
      <c r="J28" s="7" t="str">
        <f t="shared" si="4"/>
        <v>Advanced Analytics</v>
      </c>
      <c r="K28" s="3" t="str">
        <f>IF(I28=35,7,"7")</f>
        <v>7</v>
      </c>
      <c r="L28" s="7" t="str">
        <f t="shared" si="1"/>
        <v>Offline</v>
      </c>
      <c r="M28" s="3" t="str">
        <f t="shared" si="5"/>
        <v>Weekly</v>
      </c>
      <c r="N28" s="7">
        <f t="shared" si="2"/>
        <v>90</v>
      </c>
      <c r="O28" s="7">
        <f t="shared" si="3"/>
        <v>1</v>
      </c>
    </row>
    <row r="29" spans="1:15" ht="29" x14ac:dyDescent="0.35">
      <c r="A29" s="7" t="s">
        <v>28</v>
      </c>
      <c r="B29" s="9" t="s">
        <v>16</v>
      </c>
      <c r="C29" s="6" t="s">
        <v>39</v>
      </c>
      <c r="D29" s="6" t="s">
        <v>18</v>
      </c>
      <c r="E29" s="10">
        <v>2</v>
      </c>
      <c r="F29" s="7" t="s">
        <v>22</v>
      </c>
      <c r="G29" s="6" t="s">
        <v>23</v>
      </c>
      <c r="H29" s="3" t="str" cm="1">
        <f t="array" ref="H29">_xlfn.IFS(
A29="Rajagiri College of Social Sciences", "Shalini and Bhavesh",
A29="Delhi University", "Sakshi",
A29="Amity University", "Chirag",
A29="Guru Gobind Singh Indraprastha University", "Anjali",
A29="Galgotiyas University", "Jivanshu",
A29="Guru Nanak Dev University", "Deepak")</f>
        <v>Anjali</v>
      </c>
      <c r="I29" s="7" t="str">
        <f t="shared" si="0"/>
        <v>48</v>
      </c>
      <c r="J29" s="7" t="str">
        <f t="shared" si="4"/>
        <v>Advanced Excel</v>
      </c>
      <c r="K29" s="8" t="str">
        <f>IF(I29=48,8,"8")</f>
        <v>8</v>
      </c>
      <c r="L29" s="7" t="str">
        <f t="shared" si="1"/>
        <v>Online</v>
      </c>
      <c r="M29" s="3" t="str">
        <f t="shared" si="5"/>
        <v>Blocked</v>
      </c>
      <c r="N29" s="7">
        <f t="shared" si="2"/>
        <v>180</v>
      </c>
      <c r="O29" s="7">
        <f t="shared" si="3"/>
        <v>1</v>
      </c>
    </row>
    <row r="30" spans="1:15" x14ac:dyDescent="0.35">
      <c r="A30" s="8" t="s">
        <v>30</v>
      </c>
      <c r="B30" s="9" t="s">
        <v>21</v>
      </c>
      <c r="C30" s="6" t="s">
        <v>17</v>
      </c>
      <c r="D30" s="6" t="s">
        <v>18</v>
      </c>
      <c r="E30" s="10">
        <v>1</v>
      </c>
      <c r="F30" s="8" t="s">
        <v>31</v>
      </c>
      <c r="G30" s="6" t="s">
        <v>23</v>
      </c>
      <c r="H30" s="3" t="str" cm="1">
        <f t="array" ref="H30">_xlfn.IFS(
A30="Rajagiri College of Social Sciences", "Shalini and Bhavesh",
A30="Delhi University", "Sakshi",
A30="Amity University", "Chirag",
A30="Guru Gobind Singh Indraprastha University", "Anjali",
A30="Galgotiyas University", "Jivanshu",
A30="Guru Nanak Dev University", "Deepak")</f>
        <v>Deepak</v>
      </c>
      <c r="I30" s="8" t="str">
        <f t="shared" si="0"/>
        <v>48</v>
      </c>
      <c r="J30" s="7" t="str">
        <f t="shared" si="4"/>
        <v>Advanced Excel</v>
      </c>
      <c r="K30" s="3" t="str">
        <f>IF(I30=35,7,"7")</f>
        <v>7</v>
      </c>
      <c r="L30" s="8" t="str">
        <f t="shared" si="1"/>
        <v>Online</v>
      </c>
      <c r="M30" s="3" t="str">
        <f t="shared" si="5"/>
        <v>Blocked</v>
      </c>
      <c r="N30" s="8">
        <f t="shared" si="2"/>
        <v>90</v>
      </c>
      <c r="O30" s="8">
        <f t="shared" si="3"/>
        <v>1</v>
      </c>
    </row>
    <row r="31" spans="1:15" x14ac:dyDescent="0.35">
      <c r="A31" s="12" t="s">
        <v>32</v>
      </c>
      <c r="B31" s="9" t="s">
        <v>25</v>
      </c>
      <c r="C31" s="6" t="s">
        <v>29</v>
      </c>
      <c r="D31" s="6" t="s">
        <v>18</v>
      </c>
      <c r="E31" s="10">
        <v>2</v>
      </c>
      <c r="F31" s="12" t="s">
        <v>43</v>
      </c>
      <c r="G31" s="6" t="s">
        <v>23</v>
      </c>
      <c r="H31" s="3" t="str" cm="1">
        <f t="array" ref="H31">_xlfn.IFS(
A31="Rajagiri College of Social Sciences", "Shalini and Bhavesh",
A31="Delhi University", "Sakshi",
A31="Amity University", "Chirag",
A31="Guru Gobind Singh Indraprastha University", "Anjali",
A31="Galgotiyas University", "Jivanshu",
A31="Guru Nanak Dev University", "Deepak")</f>
        <v>Jivanshu</v>
      </c>
      <c r="I31" s="7" t="str">
        <f t="shared" si="0"/>
        <v>48</v>
      </c>
      <c r="J31" s="7" t="str">
        <f t="shared" si="4"/>
        <v>Advanced Excel</v>
      </c>
      <c r="K31" s="8" t="str">
        <f>IF(I31=48,8,"8")</f>
        <v>8</v>
      </c>
      <c r="L31" s="7" t="str">
        <f t="shared" si="1"/>
        <v>Online</v>
      </c>
      <c r="M31" s="3" t="str">
        <f t="shared" si="5"/>
        <v>Blocked</v>
      </c>
      <c r="N31" s="7">
        <f t="shared" si="2"/>
        <v>180</v>
      </c>
      <c r="O31" s="7">
        <f t="shared" si="3"/>
        <v>1</v>
      </c>
    </row>
    <row r="32" spans="1:15" ht="29" x14ac:dyDescent="0.35">
      <c r="A32" s="6" t="s">
        <v>15</v>
      </c>
      <c r="B32" s="9" t="s">
        <v>16</v>
      </c>
      <c r="C32" s="6" t="s">
        <v>39</v>
      </c>
      <c r="D32" s="6" t="s">
        <v>18</v>
      </c>
      <c r="E32" s="10">
        <v>1</v>
      </c>
      <c r="F32" s="6" t="s">
        <v>36</v>
      </c>
      <c r="G32" s="6" t="s">
        <v>23</v>
      </c>
      <c r="H32" s="3" t="str" cm="1">
        <f t="array" ref="H32">_xlfn.IFS(
A32="Rajagiri College of Social Sciences", "Shalini and Bhavesh",
A32="Delhi University", "Sakshi",
A32="Amity University", "Chirag",
A32="Guru Gobind Singh Indraprastha University", "Anjali",
A32="Galgotiyas University", "Jivanshu",
A32="Guru Nanak Dev University", "Deepak")</f>
        <v>Shalini and Bhavesh</v>
      </c>
      <c r="I32" s="8" t="str">
        <f t="shared" si="0"/>
        <v>35</v>
      </c>
      <c r="J32" s="7" t="str">
        <f t="shared" si="4"/>
        <v>DBMS-Projects</v>
      </c>
      <c r="K32" s="3" t="str">
        <f>IF(I32=35,7,"7")</f>
        <v>7</v>
      </c>
      <c r="L32" s="8" t="str">
        <f t="shared" si="1"/>
        <v>Offline</v>
      </c>
      <c r="M32" s="3" t="str">
        <f t="shared" si="5"/>
        <v>Weekly</v>
      </c>
      <c r="N32" s="8">
        <f t="shared" si="2"/>
        <v>90</v>
      </c>
      <c r="O32" s="8">
        <f t="shared" si="3"/>
        <v>2</v>
      </c>
    </row>
    <row r="33" spans="1:15" x14ac:dyDescent="0.35">
      <c r="A33" s="8" t="s">
        <v>20</v>
      </c>
      <c r="B33" s="9" t="s">
        <v>21</v>
      </c>
      <c r="C33" s="6" t="s">
        <v>54</v>
      </c>
      <c r="D33" s="6" t="s">
        <v>18</v>
      </c>
      <c r="E33" s="10">
        <v>2</v>
      </c>
      <c r="F33" s="8" t="s">
        <v>22</v>
      </c>
      <c r="G33" s="6" t="s">
        <v>23</v>
      </c>
      <c r="H33" s="3" t="str" cm="1">
        <f t="array" ref="H33">_xlfn.IFS(
A33="Rajagiri College of Social Sciences", "Shalini and Bhavesh",
A33="Delhi University", "Sakshi",
A33="Amity University", "Chirag",
A33="Guru Gobind Singh Indraprastha University", "Anjali",
A33="Galgotiyas University", "Jivanshu",
A33="Guru Nanak Dev University", "Deepak")</f>
        <v>Sakshi</v>
      </c>
      <c r="I33" s="8" t="str">
        <f t="shared" si="0"/>
        <v>35</v>
      </c>
      <c r="J33" s="7" t="str">
        <f t="shared" si="4"/>
        <v>Coding</v>
      </c>
      <c r="K33" s="8" t="str">
        <f>IF(I33=48,8,"8")</f>
        <v>8</v>
      </c>
      <c r="L33" s="8" t="str">
        <f t="shared" si="1"/>
        <v>Offline</v>
      </c>
      <c r="M33" s="3" t="str">
        <f t="shared" si="5"/>
        <v>Weekly</v>
      </c>
      <c r="N33" s="8">
        <f t="shared" si="2"/>
        <v>180</v>
      </c>
      <c r="O33" s="8">
        <f t="shared" si="3"/>
        <v>1</v>
      </c>
    </row>
    <row r="34" spans="1:15" x14ac:dyDescent="0.35">
      <c r="A34" s="8" t="s">
        <v>24</v>
      </c>
      <c r="B34" s="9" t="s">
        <v>33</v>
      </c>
      <c r="C34" s="6" t="s">
        <v>29</v>
      </c>
      <c r="D34" s="6" t="s">
        <v>18</v>
      </c>
      <c r="E34" s="10">
        <v>1</v>
      </c>
      <c r="F34" s="8" t="s">
        <v>27</v>
      </c>
      <c r="G34" s="6" t="s">
        <v>23</v>
      </c>
      <c r="H34" s="3" t="str" cm="1">
        <f t="array" ref="H34">_xlfn.IFS(
A34="Rajagiri College of Social Sciences", "Shalini and Bhavesh",
A34="Delhi University", "Sakshi",
A34="Amity University", "Chirag",
A34="Guru Gobind Singh Indraprastha University", "Anjali",
A34="Galgotiyas University", "Jivanshu",
A34="Guru Nanak Dev University", "Deepak")</f>
        <v>Chirag</v>
      </c>
      <c r="I34" s="8" t="str">
        <f t="shared" ref="I34:I51" si="6">IF(J34="Advanced Excel","48",IF(J34="Advanced Analytics","48","35"))</f>
        <v>48</v>
      </c>
      <c r="J34" s="7" t="str">
        <f t="shared" si="4"/>
        <v>Advanced Analytics</v>
      </c>
      <c r="K34" s="3" t="str">
        <f>IF(I34=35,7,"7")</f>
        <v>7</v>
      </c>
      <c r="L34" s="8" t="str">
        <f t="shared" ref="L34:L51" si="7">IF(J34="Advanced Excel","Online","Offline")</f>
        <v>Offline</v>
      </c>
      <c r="M34" s="3" t="str">
        <f t="shared" si="5"/>
        <v>Weekly</v>
      </c>
      <c r="N34" s="8">
        <f t="shared" ref="N34:N51" si="8">IF(E34=2, 180,90)</f>
        <v>90</v>
      </c>
      <c r="O34" s="8">
        <f t="shared" ref="O34:O51" si="9">IF(A34="Rajagiri College of Social Sciences",2,1)</f>
        <v>1</v>
      </c>
    </row>
    <row r="35" spans="1:15" ht="29" x14ac:dyDescent="0.35">
      <c r="A35" s="7" t="s">
        <v>28</v>
      </c>
      <c r="B35" s="9" t="s">
        <v>25</v>
      </c>
      <c r="C35" s="6" t="s">
        <v>29</v>
      </c>
      <c r="D35" s="6" t="s">
        <v>18</v>
      </c>
      <c r="E35" s="10">
        <v>2</v>
      </c>
      <c r="F35" s="7" t="s">
        <v>22</v>
      </c>
      <c r="G35" s="6" t="s">
        <v>23</v>
      </c>
      <c r="H35" s="3" t="str" cm="1">
        <f t="array" ref="H35">_xlfn.IFS(
A35="Rajagiri College of Social Sciences", "Shalini and Bhavesh",
A35="Delhi University", "Sakshi",
A35="Amity University", "Chirag",
A35="Guru Gobind Singh Indraprastha University", "Anjali",
A35="Galgotiyas University", "Jivanshu",
A35="Guru Nanak Dev University", "Deepak")</f>
        <v>Anjali</v>
      </c>
      <c r="I35" s="7" t="str">
        <f t="shared" si="6"/>
        <v>48</v>
      </c>
      <c r="J35" s="7" t="str">
        <f t="shared" si="4"/>
        <v>Advanced Excel</v>
      </c>
      <c r="K35" s="8" t="str">
        <f>IF(I35=48,8,"8")</f>
        <v>8</v>
      </c>
      <c r="L35" s="7" t="str">
        <f t="shared" si="7"/>
        <v>Online</v>
      </c>
      <c r="M35" s="3" t="str">
        <f t="shared" si="5"/>
        <v>Blocked</v>
      </c>
      <c r="N35" s="7">
        <f t="shared" si="8"/>
        <v>180</v>
      </c>
      <c r="O35" s="7">
        <f t="shared" si="9"/>
        <v>1</v>
      </c>
    </row>
    <row r="36" spans="1:15" x14ac:dyDescent="0.35">
      <c r="A36" s="7" t="s">
        <v>30</v>
      </c>
      <c r="B36" s="9" t="s">
        <v>38</v>
      </c>
      <c r="C36" s="6" t="s">
        <v>39</v>
      </c>
      <c r="D36" s="6" t="s">
        <v>18</v>
      </c>
      <c r="E36" s="10">
        <v>1</v>
      </c>
      <c r="F36" s="7" t="s">
        <v>31</v>
      </c>
      <c r="G36" s="6" t="s">
        <v>23</v>
      </c>
      <c r="H36" s="3" t="str" cm="1">
        <f t="array" ref="H36">_xlfn.IFS(
A36="Rajagiri College of Social Sciences", "Shalini and Bhavesh",
A36="Delhi University", "Sakshi",
A36="Amity University", "Chirag",
A36="Guru Gobind Singh Indraprastha University", "Anjali",
A36="Galgotiyas University", "Jivanshu",
A36="Guru Nanak Dev University", "Deepak")</f>
        <v>Deepak</v>
      </c>
      <c r="I36" s="7" t="str">
        <f t="shared" si="6"/>
        <v>48</v>
      </c>
      <c r="J36" s="7" t="str">
        <f t="shared" si="4"/>
        <v>Advanced Excel</v>
      </c>
      <c r="K36" s="3" t="str">
        <f>IF(I36=35,7,"7")</f>
        <v>7</v>
      </c>
      <c r="L36" s="7" t="str">
        <f t="shared" si="7"/>
        <v>Online</v>
      </c>
      <c r="M36" s="3" t="str">
        <f t="shared" si="5"/>
        <v>Blocked</v>
      </c>
      <c r="N36" s="7">
        <f t="shared" si="8"/>
        <v>90</v>
      </c>
      <c r="O36" s="7">
        <f t="shared" si="9"/>
        <v>1</v>
      </c>
    </row>
    <row r="37" spans="1:15" x14ac:dyDescent="0.35">
      <c r="A37" s="12" t="s">
        <v>32</v>
      </c>
      <c r="B37" s="9" t="s">
        <v>16</v>
      </c>
      <c r="C37" s="6" t="s">
        <v>54</v>
      </c>
      <c r="D37" s="6" t="s">
        <v>18</v>
      </c>
      <c r="E37" s="10">
        <v>2</v>
      </c>
      <c r="F37" s="12" t="s">
        <v>44</v>
      </c>
      <c r="G37" s="6" t="s">
        <v>23</v>
      </c>
      <c r="H37" s="3" t="str" cm="1">
        <f t="array" ref="H37">_xlfn.IFS(
A37="Rajagiri College of Social Sciences", "Shalini and Bhavesh",
A37="Delhi University", "Sakshi",
A37="Amity University", "Chirag",
A37="Guru Gobind Singh Indraprastha University", "Anjali",
A37="Galgotiyas University", "Jivanshu",
A37="Guru Nanak Dev University", "Deepak")</f>
        <v>Jivanshu</v>
      </c>
      <c r="I37" s="7" t="str">
        <f t="shared" si="6"/>
        <v>48</v>
      </c>
      <c r="J37" s="7" t="str">
        <f t="shared" si="4"/>
        <v>Advanced Excel</v>
      </c>
      <c r="K37" s="8" t="str">
        <f>IF(I37=48,8,"8")</f>
        <v>8</v>
      </c>
      <c r="L37" s="7" t="str">
        <f t="shared" si="7"/>
        <v>Online</v>
      </c>
      <c r="M37" s="3" t="str">
        <f t="shared" si="5"/>
        <v>Blocked</v>
      </c>
      <c r="N37" s="7">
        <f t="shared" si="8"/>
        <v>180</v>
      </c>
      <c r="O37" s="7">
        <f t="shared" si="9"/>
        <v>1</v>
      </c>
    </row>
    <row r="38" spans="1:15" ht="29" x14ac:dyDescent="0.35">
      <c r="A38" s="6" t="s">
        <v>15</v>
      </c>
      <c r="B38" s="9" t="s">
        <v>42</v>
      </c>
      <c r="C38" s="6" t="s">
        <v>54</v>
      </c>
      <c r="D38" s="6" t="s">
        <v>18</v>
      </c>
      <c r="E38" s="10">
        <v>1</v>
      </c>
      <c r="F38" s="6" t="s">
        <v>36</v>
      </c>
      <c r="G38" s="6" t="s">
        <v>23</v>
      </c>
      <c r="H38" s="3" t="str" cm="1">
        <f t="array" ref="H38">_xlfn.IFS(
A38="Rajagiri College of Social Sciences", "Shalini and Bhavesh",
A38="Delhi University", "Sakshi",
A38="Amity University", "Chirag",
A38="Guru Gobind Singh Indraprastha University", "Anjali",
A38="Galgotiyas University", "Jivanshu",
A38="Guru Nanak Dev University", "Deepak")</f>
        <v>Shalini and Bhavesh</v>
      </c>
      <c r="I38" s="7" t="str">
        <f t="shared" si="6"/>
        <v>35</v>
      </c>
      <c r="J38" s="7" t="str">
        <f t="shared" si="4"/>
        <v>DBMS-Projects</v>
      </c>
      <c r="K38" s="3" t="str">
        <f>IF(I38=35,7,"7")</f>
        <v>7</v>
      </c>
      <c r="L38" s="7" t="str">
        <f t="shared" si="7"/>
        <v>Offline</v>
      </c>
      <c r="M38" s="3" t="str">
        <f t="shared" si="5"/>
        <v>Weekly</v>
      </c>
      <c r="N38" s="7">
        <f t="shared" si="8"/>
        <v>90</v>
      </c>
      <c r="O38" s="7">
        <f t="shared" si="9"/>
        <v>2</v>
      </c>
    </row>
    <row r="39" spans="1:15" x14ac:dyDescent="0.35">
      <c r="A39" s="8" t="s">
        <v>20</v>
      </c>
      <c r="B39" s="9" t="s">
        <v>21</v>
      </c>
      <c r="C39" s="6" t="s">
        <v>26</v>
      </c>
      <c r="D39" s="6" t="s">
        <v>18</v>
      </c>
      <c r="E39" s="10">
        <v>2</v>
      </c>
      <c r="F39" s="7" t="s">
        <v>22</v>
      </c>
      <c r="G39" s="6" t="s">
        <v>23</v>
      </c>
      <c r="H39" s="3" t="str" cm="1">
        <f t="array" ref="H39">_xlfn.IFS(
A39="Rajagiri College of Social Sciences", "Shalini and Bhavesh",
A39="Delhi University", "Sakshi",
A39="Amity University", "Chirag",
A39="Guru Gobind Singh Indraprastha University", "Anjali",
A39="Galgotiyas University", "Jivanshu",
A39="Guru Nanak Dev University", "Deepak")</f>
        <v>Sakshi</v>
      </c>
      <c r="I39" s="8" t="str">
        <f t="shared" si="6"/>
        <v>35</v>
      </c>
      <c r="J39" s="7" t="str">
        <f t="shared" si="4"/>
        <v>Coding</v>
      </c>
      <c r="K39" s="8" t="str">
        <f>IF(I39=48,8,"8")</f>
        <v>8</v>
      </c>
      <c r="L39" s="8" t="str">
        <f t="shared" si="7"/>
        <v>Offline</v>
      </c>
      <c r="M39" s="3" t="str">
        <f t="shared" si="5"/>
        <v>Weekly</v>
      </c>
      <c r="N39" s="8">
        <f t="shared" si="8"/>
        <v>180</v>
      </c>
      <c r="O39" s="8">
        <f t="shared" si="9"/>
        <v>1</v>
      </c>
    </row>
    <row r="40" spans="1:15" x14ac:dyDescent="0.35">
      <c r="A40" s="7" t="s">
        <v>24</v>
      </c>
      <c r="B40" s="9" t="s">
        <v>38</v>
      </c>
      <c r="C40" s="6" t="s">
        <v>39</v>
      </c>
      <c r="D40" s="6" t="s">
        <v>18</v>
      </c>
      <c r="E40" s="10">
        <v>1</v>
      </c>
      <c r="F40" s="7" t="s">
        <v>27</v>
      </c>
      <c r="G40" s="6" t="s">
        <v>23</v>
      </c>
      <c r="H40" s="3" t="str" cm="1">
        <f t="array" ref="H40">_xlfn.IFS(
A40="Rajagiri College of Social Sciences", "Shalini and Bhavesh",
A40="Delhi University", "Sakshi",
A40="Amity University", "Chirag",
A40="Guru Gobind Singh Indraprastha University", "Anjali",
A40="Galgotiyas University", "Jivanshu",
A40="Guru Nanak Dev University", "Deepak")</f>
        <v>Chirag</v>
      </c>
      <c r="I40" s="7" t="str">
        <f t="shared" si="6"/>
        <v>48</v>
      </c>
      <c r="J40" s="7" t="str">
        <f t="shared" si="4"/>
        <v>Advanced Analytics</v>
      </c>
      <c r="K40" s="3" t="str">
        <f>IF(I40=35,7,"7")</f>
        <v>7</v>
      </c>
      <c r="L40" s="7" t="str">
        <f t="shared" si="7"/>
        <v>Offline</v>
      </c>
      <c r="M40" s="3" t="str">
        <f t="shared" si="5"/>
        <v>Weekly</v>
      </c>
      <c r="N40" s="7">
        <f t="shared" si="8"/>
        <v>90</v>
      </c>
      <c r="O40" s="7">
        <f t="shared" si="9"/>
        <v>1</v>
      </c>
    </row>
    <row r="41" spans="1:15" ht="29" x14ac:dyDescent="0.35">
      <c r="A41" s="7" t="s">
        <v>28</v>
      </c>
      <c r="B41" s="9" t="s">
        <v>33</v>
      </c>
      <c r="C41" s="6" t="s">
        <v>26</v>
      </c>
      <c r="D41" s="6" t="s">
        <v>18</v>
      </c>
      <c r="E41" s="10">
        <v>2</v>
      </c>
      <c r="F41" s="7" t="s">
        <v>22</v>
      </c>
      <c r="G41" s="6" t="s">
        <v>23</v>
      </c>
      <c r="H41" s="3" t="str" cm="1">
        <f t="array" ref="H41">_xlfn.IFS(
A41="Rajagiri College of Social Sciences", "Shalini and Bhavesh",
A41="Delhi University", "Sakshi",
A41="Amity University", "Chirag",
A41="Guru Gobind Singh Indraprastha University", "Anjali",
A41="Galgotiyas University", "Jivanshu",
A41="Guru Nanak Dev University", "Deepak")</f>
        <v>Anjali</v>
      </c>
      <c r="I41" s="7" t="str">
        <f t="shared" si="6"/>
        <v>48</v>
      </c>
      <c r="J41" s="7" t="str">
        <f t="shared" si="4"/>
        <v>Advanced Excel</v>
      </c>
      <c r="K41" s="8" t="str">
        <f>IF(I41=48,8,"8")</f>
        <v>8</v>
      </c>
      <c r="L41" s="7" t="str">
        <f t="shared" si="7"/>
        <v>Online</v>
      </c>
      <c r="M41" s="3" t="str">
        <f t="shared" si="5"/>
        <v>Blocked</v>
      </c>
      <c r="N41" s="7">
        <f t="shared" si="8"/>
        <v>180</v>
      </c>
      <c r="O41" s="7">
        <f t="shared" si="9"/>
        <v>1</v>
      </c>
    </row>
    <row r="42" spans="1:15" x14ac:dyDescent="0.35">
      <c r="A42" s="7" t="s">
        <v>30</v>
      </c>
      <c r="B42" s="9" t="s">
        <v>42</v>
      </c>
      <c r="C42" s="6" t="s">
        <v>17</v>
      </c>
      <c r="D42" s="6" t="s">
        <v>18</v>
      </c>
      <c r="E42" s="10">
        <v>1</v>
      </c>
      <c r="F42" s="7" t="s">
        <v>31</v>
      </c>
      <c r="G42" s="6" t="s">
        <v>23</v>
      </c>
      <c r="H42" s="3" t="str" cm="1">
        <f t="array" ref="H42">_xlfn.IFS(
A42="Rajagiri College of Social Sciences", "Shalini and Bhavesh",
A42="Delhi University", "Sakshi",
A42="Amity University", "Chirag",
A42="Guru Gobind Singh Indraprastha University", "Anjali",
A42="Galgotiyas University", "Jivanshu",
A42="Guru Nanak Dev University", "Deepak")</f>
        <v>Deepak</v>
      </c>
      <c r="I42" s="7" t="str">
        <f t="shared" si="6"/>
        <v>48</v>
      </c>
      <c r="J42" s="7" t="str">
        <f t="shared" si="4"/>
        <v>Advanced Excel</v>
      </c>
      <c r="K42" s="3" t="str">
        <f>IF(I42=35,7,"7")</f>
        <v>7</v>
      </c>
      <c r="L42" s="7" t="str">
        <f t="shared" si="7"/>
        <v>Online</v>
      </c>
      <c r="M42" s="3" t="str">
        <f t="shared" si="5"/>
        <v>Blocked</v>
      </c>
      <c r="N42" s="7">
        <f t="shared" si="8"/>
        <v>90</v>
      </c>
      <c r="O42" s="7">
        <f t="shared" si="9"/>
        <v>1</v>
      </c>
    </row>
    <row r="43" spans="1:15" x14ac:dyDescent="0.35">
      <c r="A43" s="12" t="s">
        <v>32</v>
      </c>
      <c r="B43" s="9" t="s">
        <v>38</v>
      </c>
      <c r="C43" s="6" t="s">
        <v>39</v>
      </c>
      <c r="D43" s="6" t="s">
        <v>18</v>
      </c>
      <c r="E43" s="10">
        <v>2</v>
      </c>
      <c r="F43" s="12" t="s">
        <v>45</v>
      </c>
      <c r="G43" s="6" t="s">
        <v>23</v>
      </c>
      <c r="H43" s="3" t="str" cm="1">
        <f t="array" ref="H43">_xlfn.IFS(
A43="Rajagiri College of Social Sciences", "Shalini and Bhavesh",
A43="Delhi University", "Sakshi",
A43="Amity University", "Chirag",
A43="Guru Gobind Singh Indraprastha University", "Anjali",
A43="Galgotiyas University", "Jivanshu",
A43="Guru Nanak Dev University", "Deepak")</f>
        <v>Jivanshu</v>
      </c>
      <c r="I43" s="8" t="str">
        <f t="shared" si="6"/>
        <v>48</v>
      </c>
      <c r="J43" s="7" t="str">
        <f t="shared" si="4"/>
        <v>Advanced Excel</v>
      </c>
      <c r="K43" s="8" t="str">
        <f>IF(I43=48,8,"8")</f>
        <v>8</v>
      </c>
      <c r="L43" s="8" t="str">
        <f t="shared" si="7"/>
        <v>Online</v>
      </c>
      <c r="M43" s="3" t="str">
        <f t="shared" si="5"/>
        <v>Blocked</v>
      </c>
      <c r="N43" s="8">
        <f t="shared" si="8"/>
        <v>180</v>
      </c>
      <c r="O43" s="8">
        <f t="shared" si="9"/>
        <v>1</v>
      </c>
    </row>
    <row r="44" spans="1:15" ht="29" x14ac:dyDescent="0.35">
      <c r="A44" s="6" t="s">
        <v>15</v>
      </c>
      <c r="B44" s="9" t="s">
        <v>33</v>
      </c>
      <c r="C44" s="6" t="s">
        <v>26</v>
      </c>
      <c r="D44" s="6" t="s">
        <v>18</v>
      </c>
      <c r="E44" s="10">
        <v>1</v>
      </c>
      <c r="F44" s="6" t="s">
        <v>36</v>
      </c>
      <c r="G44" s="6" t="s">
        <v>23</v>
      </c>
      <c r="H44" s="3" t="str" cm="1">
        <f t="array" ref="H44">_xlfn.IFS(
A44="Rajagiri College of Social Sciences", "Shalini and Bhavesh",
A44="Delhi University", "Sakshi",
A44="Amity University", "Chirag",
A44="Guru Gobind Singh Indraprastha University", "Anjali",
A44="Galgotiyas University", "Jivanshu",
A44="Guru Nanak Dev University", "Deepak")</f>
        <v>Shalini and Bhavesh</v>
      </c>
      <c r="I44" s="8" t="str">
        <f t="shared" si="6"/>
        <v>35</v>
      </c>
      <c r="J44" s="7" t="str">
        <f t="shared" si="4"/>
        <v>DBMS-Projects</v>
      </c>
      <c r="K44" s="3" t="str">
        <f>IF(I44=35,7,"7")</f>
        <v>7</v>
      </c>
      <c r="L44" s="8" t="str">
        <f t="shared" si="7"/>
        <v>Offline</v>
      </c>
      <c r="M44" s="3" t="str">
        <f t="shared" si="5"/>
        <v>Weekly</v>
      </c>
      <c r="N44" s="8">
        <f t="shared" si="8"/>
        <v>90</v>
      </c>
      <c r="O44" s="8">
        <f t="shared" si="9"/>
        <v>2</v>
      </c>
    </row>
    <row r="45" spans="1:15" x14ac:dyDescent="0.35">
      <c r="A45" s="8" t="s">
        <v>20</v>
      </c>
      <c r="B45" s="9" t="s">
        <v>25</v>
      </c>
      <c r="C45" s="6" t="s">
        <v>26</v>
      </c>
      <c r="D45" s="6" t="s">
        <v>18</v>
      </c>
      <c r="E45" s="10">
        <v>2</v>
      </c>
      <c r="F45" s="8" t="s">
        <v>22</v>
      </c>
      <c r="G45" s="6"/>
      <c r="H45" s="3" t="str" cm="1">
        <f t="array" ref="H45">_xlfn.IFS(
A45="Rajagiri College of Social Sciences", "Shalini and Bhavesh",
A45="Delhi University", "Sakshi",
A45="Amity University", "Chirag",
A45="Guru Gobind Singh Indraprastha University", "Anjali",
A45="Galgotiyas University", "Jivanshu",
A45="Guru Nanak Dev University", "Deepak")</f>
        <v>Sakshi</v>
      </c>
      <c r="I45" s="8" t="str">
        <f t="shared" si="6"/>
        <v>35</v>
      </c>
      <c r="J45" s="7" t="str">
        <f t="shared" si="4"/>
        <v>Coding</v>
      </c>
      <c r="K45" s="8" t="str">
        <f>IF(I45=48,8,"8")</f>
        <v>8</v>
      </c>
      <c r="L45" s="8" t="str">
        <f t="shared" si="7"/>
        <v>Offline</v>
      </c>
      <c r="M45" s="3" t="str">
        <f t="shared" si="5"/>
        <v>Weekly</v>
      </c>
      <c r="N45" s="8">
        <f t="shared" si="8"/>
        <v>180</v>
      </c>
      <c r="O45" s="8">
        <f t="shared" si="9"/>
        <v>1</v>
      </c>
    </row>
    <row r="46" spans="1:15" x14ac:dyDescent="0.35">
      <c r="A46" s="8" t="s">
        <v>24</v>
      </c>
      <c r="B46" s="9" t="s">
        <v>25</v>
      </c>
      <c r="C46" s="6" t="s">
        <v>26</v>
      </c>
      <c r="D46" s="6" t="s">
        <v>18</v>
      </c>
      <c r="E46" s="10">
        <v>1</v>
      </c>
      <c r="F46" s="8" t="s">
        <v>27</v>
      </c>
      <c r="G46" s="6" t="s">
        <v>23</v>
      </c>
      <c r="H46" s="3" t="str" cm="1">
        <f t="array" ref="H46">_xlfn.IFS(
A46="Rajagiri College of Social Sciences", "Shalini and Bhavesh",
A46="Delhi University", "Sakshi",
A46="Amity University", "Chirag",
A46="Guru Gobind Singh Indraprastha University", "Anjali",
A46="Galgotiyas University", "Jivanshu",
A46="Guru Nanak Dev University", "Deepak")</f>
        <v>Chirag</v>
      </c>
      <c r="I46" s="8" t="str">
        <f t="shared" si="6"/>
        <v>48</v>
      </c>
      <c r="J46" s="7" t="str">
        <f t="shared" si="4"/>
        <v>Advanced Analytics</v>
      </c>
      <c r="K46" s="3" t="str">
        <f>IF(I46=35,7,"7")</f>
        <v>7</v>
      </c>
      <c r="L46" s="8" t="str">
        <f t="shared" si="7"/>
        <v>Offline</v>
      </c>
      <c r="M46" s="3" t="str">
        <f t="shared" si="5"/>
        <v>Weekly</v>
      </c>
      <c r="N46" s="8">
        <f t="shared" si="8"/>
        <v>90</v>
      </c>
      <c r="O46" s="8">
        <f t="shared" si="9"/>
        <v>1</v>
      </c>
    </row>
    <row r="47" spans="1:15" ht="29" x14ac:dyDescent="0.35">
      <c r="A47" s="8" t="s">
        <v>28</v>
      </c>
      <c r="B47" s="9" t="s">
        <v>21</v>
      </c>
      <c r="C47" s="6" t="s">
        <v>17</v>
      </c>
      <c r="D47" s="6" t="s">
        <v>18</v>
      </c>
      <c r="E47" s="10">
        <v>2</v>
      </c>
      <c r="F47" s="8" t="s">
        <v>22</v>
      </c>
      <c r="G47" s="6" t="s">
        <v>23</v>
      </c>
      <c r="H47" s="3" t="str" cm="1">
        <f t="array" ref="H47">_xlfn.IFS(
A47="Rajagiri College of Social Sciences", "Shalini and Bhavesh",
A47="Delhi University", "Sakshi",
A47="Amity University", "Chirag",
A47="Guru Gobind Singh Indraprastha University", "Anjali",
A47="Galgotiyas University", "Jivanshu",
A47="Guru Nanak Dev University", "Deepak")</f>
        <v>Anjali</v>
      </c>
      <c r="I47" s="8" t="str">
        <f t="shared" si="6"/>
        <v>48</v>
      </c>
      <c r="J47" s="7" t="str">
        <f t="shared" si="4"/>
        <v>Advanced Excel</v>
      </c>
      <c r="K47" s="8" t="str">
        <f>IF(I47=48,8,"8")</f>
        <v>8</v>
      </c>
      <c r="L47" s="8" t="str">
        <f t="shared" si="7"/>
        <v>Online</v>
      </c>
      <c r="M47" s="3" t="str">
        <f t="shared" si="5"/>
        <v>Blocked</v>
      </c>
      <c r="N47" s="8">
        <f t="shared" si="8"/>
        <v>180</v>
      </c>
      <c r="O47" s="8">
        <f t="shared" si="9"/>
        <v>1</v>
      </c>
    </row>
    <row r="48" spans="1:15" x14ac:dyDescent="0.35">
      <c r="A48" s="8" t="s">
        <v>30</v>
      </c>
      <c r="B48" s="9" t="s">
        <v>33</v>
      </c>
      <c r="C48" s="6" t="s">
        <v>26</v>
      </c>
      <c r="D48" s="6" t="s">
        <v>18</v>
      </c>
      <c r="E48" s="10">
        <v>1</v>
      </c>
      <c r="F48" s="8" t="s">
        <v>31</v>
      </c>
      <c r="G48" s="6" t="s">
        <v>23</v>
      </c>
      <c r="H48" s="3" t="str" cm="1">
        <f t="array" ref="H48">_xlfn.IFS(
A48="Rajagiri College of Social Sciences", "Shalini and Bhavesh",
A48="Delhi University", "Sakshi",
A48="Amity University", "Chirag",
A48="Guru Gobind Singh Indraprastha University", "Anjali",
A48="Galgotiyas University", "Jivanshu",
A48="Guru Nanak Dev University", "Deepak")</f>
        <v>Deepak</v>
      </c>
      <c r="I48" s="8" t="str">
        <f t="shared" si="6"/>
        <v>48</v>
      </c>
      <c r="J48" s="7" t="str">
        <f t="shared" si="4"/>
        <v>Advanced Excel</v>
      </c>
      <c r="K48" s="3" t="str">
        <f>IF(I48=35,7,"7")</f>
        <v>7</v>
      </c>
      <c r="L48" s="8" t="str">
        <f t="shared" si="7"/>
        <v>Online</v>
      </c>
      <c r="M48" s="3" t="str">
        <f t="shared" si="5"/>
        <v>Blocked</v>
      </c>
      <c r="N48" s="8">
        <f t="shared" si="8"/>
        <v>90</v>
      </c>
      <c r="O48" s="8">
        <f t="shared" si="9"/>
        <v>1</v>
      </c>
    </row>
    <row r="49" spans="1:15" x14ac:dyDescent="0.35">
      <c r="A49" s="12" t="s">
        <v>32</v>
      </c>
      <c r="B49" s="9" t="s">
        <v>42</v>
      </c>
      <c r="C49" s="6" t="s">
        <v>17</v>
      </c>
      <c r="D49" s="6" t="s">
        <v>18</v>
      </c>
      <c r="E49" s="10">
        <v>2</v>
      </c>
      <c r="F49" s="12" t="s">
        <v>46</v>
      </c>
      <c r="G49" s="6" t="s">
        <v>23</v>
      </c>
      <c r="H49" s="3" t="str" cm="1">
        <f t="array" ref="H49">_xlfn.IFS(
A49="Rajagiri College of Social Sciences", "Shalini and Bhavesh",
A49="Delhi University", "Sakshi",
A49="Amity University", "Chirag",
A49="Guru Gobind Singh Indraprastha University", "Anjali",
A49="Galgotiyas University", "Jivanshu",
A49="Guru Nanak Dev University", "Deepak")</f>
        <v>Jivanshu</v>
      </c>
      <c r="I49" s="8" t="str">
        <f t="shared" si="6"/>
        <v>48</v>
      </c>
      <c r="J49" s="7" t="str">
        <f t="shared" si="4"/>
        <v>Advanced Excel</v>
      </c>
      <c r="K49" s="8" t="str">
        <f>IF(I49=48,8,"8")</f>
        <v>8</v>
      </c>
      <c r="L49" s="8" t="str">
        <f t="shared" si="7"/>
        <v>Online</v>
      </c>
      <c r="M49" s="3" t="str">
        <f t="shared" si="5"/>
        <v>Blocked</v>
      </c>
      <c r="N49" s="8">
        <f t="shared" si="8"/>
        <v>180</v>
      </c>
      <c r="O49" s="8">
        <f t="shared" si="9"/>
        <v>1</v>
      </c>
    </row>
    <row r="50" spans="1:15" ht="29" x14ac:dyDescent="0.35">
      <c r="A50" s="6" t="s">
        <v>15</v>
      </c>
      <c r="B50" s="9" t="s">
        <v>42</v>
      </c>
      <c r="C50" s="6" t="s">
        <v>17</v>
      </c>
      <c r="D50" s="6" t="s">
        <v>18</v>
      </c>
      <c r="E50" s="10">
        <v>1</v>
      </c>
      <c r="F50" s="6" t="s">
        <v>36</v>
      </c>
      <c r="G50" s="6" t="s">
        <v>23</v>
      </c>
      <c r="H50" s="3" t="str" cm="1">
        <f t="array" ref="H50">_xlfn.IFS(
A50="Rajagiri College of Social Sciences", "Shalini and Bhavesh",
A50="Delhi University", "Sakshi",
A50="Amity University", "Chirag",
A50="Guru Gobind Singh Indraprastha University", "Anjali",
A50="Galgotiyas University", "Jivanshu",
A50="Guru Nanak Dev University", "Deepak")</f>
        <v>Shalini and Bhavesh</v>
      </c>
      <c r="I50" s="8" t="str">
        <f t="shared" si="6"/>
        <v>35</v>
      </c>
      <c r="J50" s="7" t="str">
        <f t="shared" si="4"/>
        <v>DBMS-Projects</v>
      </c>
      <c r="K50" s="3" t="str">
        <f>IF(I50=35,7,"7")</f>
        <v>7</v>
      </c>
      <c r="L50" s="8" t="str">
        <f t="shared" si="7"/>
        <v>Offline</v>
      </c>
      <c r="M50" s="3" t="str">
        <f t="shared" si="5"/>
        <v>Weekly</v>
      </c>
      <c r="N50" s="8">
        <f t="shared" si="8"/>
        <v>90</v>
      </c>
      <c r="O50" s="8">
        <f t="shared" si="9"/>
        <v>2</v>
      </c>
    </row>
    <row r="51" spans="1:15" x14ac:dyDescent="0.35">
      <c r="A51" s="8" t="s">
        <v>20</v>
      </c>
      <c r="B51" s="9" t="s">
        <v>33</v>
      </c>
      <c r="C51" s="6" t="s">
        <v>26</v>
      </c>
      <c r="D51" s="6" t="s">
        <v>18</v>
      </c>
      <c r="E51" s="10">
        <v>1</v>
      </c>
      <c r="F51" s="8" t="s">
        <v>22</v>
      </c>
      <c r="G51" s="6" t="s">
        <v>23</v>
      </c>
      <c r="H51" s="3" t="str" cm="1">
        <f t="array" ref="H51">_xlfn.IFS(
A51="Rajagiri College of Social Sciences", "Shalini and Bhavesh",
A51="Delhi University", "Sakshi",
A51="Amity University", "Chirag",
A51="Guru Gobind Singh Indraprastha University", "Anjali",
A51="Galgotiyas University", "Jivanshu",
A51="Guru Nanak Dev University", "Deepak")</f>
        <v>Sakshi</v>
      </c>
      <c r="I51" s="8" t="str">
        <f t="shared" si="6"/>
        <v>35</v>
      </c>
      <c r="J51" s="7" t="str">
        <f t="shared" si="4"/>
        <v>Coding</v>
      </c>
      <c r="K51" s="8" t="str">
        <f>IF(I51=48,8,"8")</f>
        <v>8</v>
      </c>
      <c r="L51" s="8" t="str">
        <f t="shared" si="7"/>
        <v>Offline</v>
      </c>
      <c r="M51" s="3" t="str">
        <f t="shared" si="5"/>
        <v>Weekly</v>
      </c>
      <c r="N51" s="8">
        <f t="shared" si="8"/>
        <v>90</v>
      </c>
      <c r="O51" s="8">
        <f t="shared" si="9"/>
        <v>1</v>
      </c>
    </row>
    <row r="54" spans="1:15" x14ac:dyDescent="0.35">
      <c r="N54" s="13"/>
      <c r="O54" s="13"/>
    </row>
    <row r="59" spans="1:15" x14ac:dyDescent="0.35">
      <c r="N59" s="13"/>
      <c r="O59" s="13"/>
    </row>
    <row r="60" spans="1:15" x14ac:dyDescent="0.35">
      <c r="N60" s="13"/>
      <c r="O60" s="13"/>
    </row>
    <row r="61" spans="1:15" x14ac:dyDescent="0.35">
      <c r="N61" s="14"/>
      <c r="O61" s="14"/>
    </row>
    <row r="62" spans="1:15" x14ac:dyDescent="0.35">
      <c r="N62" s="13"/>
      <c r="O62" s="13"/>
    </row>
    <row r="68" spans="14:15" x14ac:dyDescent="0.35">
      <c r="N68" s="13"/>
      <c r="O68" s="13"/>
    </row>
    <row r="69" spans="14:15" x14ac:dyDescent="0.35">
      <c r="N69" s="13"/>
      <c r="O69" s="13"/>
    </row>
    <row r="70" spans="14:15" x14ac:dyDescent="0.35">
      <c r="N70" s="13"/>
      <c r="O70" s="13"/>
    </row>
    <row r="71" spans="14:15" x14ac:dyDescent="0.35">
      <c r="N71" s="13"/>
      <c r="O71" s="13"/>
    </row>
  </sheetData>
  <autoFilter ref="A1:O51" xr:uid="{92000B4E-6031-4E5A-B576-6CCB6F64ABFE}"/>
  <dataValidations count="4">
    <dataValidation type="list" allowBlank="1" showInputMessage="1" showErrorMessage="1" sqref="B2" xr:uid="{7BD75B51-5ABB-4F1B-920D-E9FCF1B7D16C}">
      <formula1>"BCA, BBA, BCOM, MBA, MCA, Business Analytics, MCOM, Other's"</formula1>
    </dataValidation>
    <dataValidation type="list" allowBlank="1" showInputMessage="1" showErrorMessage="1" sqref="D2:D51" xr:uid="{4ACE9543-46ED-4F6F-9768-7ADA4816BC14}">
      <formula1>"Batch 2024, Batch2025, Batch 2023"</formula1>
    </dataValidation>
    <dataValidation type="list" allowBlank="1" showInputMessage="1" showErrorMessage="1" sqref="C2:C51" xr:uid="{E1DA95F2-AE20-48D4-BBFC-3F95751A7CB6}">
      <formula1>"Sem 1, Sem 2, Sem 3, Sem 4, Sem 5, Sem 6"</formula1>
    </dataValidation>
    <dataValidation type="list" allowBlank="1" showInputMessage="1" showErrorMessage="1" sqref="B3:B51" xr:uid="{3A7E3850-8499-4300-9570-AFBF0317A509}">
      <formula1>"BCA, BBA, BCOM, MBA, MCA, Business Analytics"</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DEC21-0728-4A19-9A1B-0E2083B07FE4}">
  <dimension ref="A1:D104"/>
  <sheetViews>
    <sheetView topLeftCell="A4" zoomScale="73" workbookViewId="0">
      <selection activeCell="C28" sqref="C28"/>
    </sheetView>
  </sheetViews>
  <sheetFormatPr defaultRowHeight="14.5" x14ac:dyDescent="0.35"/>
  <cols>
    <col min="1" max="1" width="35.36328125" bestFit="1" customWidth="1"/>
    <col min="2" max="2" width="19.08984375" bestFit="1" customWidth="1"/>
    <col min="3" max="4" width="10.36328125" bestFit="1" customWidth="1"/>
    <col min="5" max="5" width="13.26953125" bestFit="1" customWidth="1"/>
    <col min="6" max="6" width="10.36328125" bestFit="1" customWidth="1"/>
    <col min="7" max="7" width="19.54296875" bestFit="1" customWidth="1"/>
    <col min="8" max="8" width="11.7265625" bestFit="1" customWidth="1"/>
    <col min="9" max="9" width="11.81640625" bestFit="1" customWidth="1"/>
    <col min="10" max="10" width="11.26953125" bestFit="1" customWidth="1"/>
  </cols>
  <sheetData>
    <row r="1" spans="1:4" x14ac:dyDescent="0.35">
      <c r="A1" s="15" t="s">
        <v>1</v>
      </c>
      <c r="B1" t="s">
        <v>50</v>
      </c>
    </row>
    <row r="3" spans="1:4" x14ac:dyDescent="0.35">
      <c r="A3" s="15" t="s">
        <v>47</v>
      </c>
      <c r="B3" t="s">
        <v>49</v>
      </c>
      <c r="C3" t="str">
        <f t="shared" ref="C3:D6" si="0">A3</f>
        <v>Row Labels</v>
      </c>
      <c r="D3" t="str">
        <f t="shared" si="0"/>
        <v>Sum of No of students</v>
      </c>
    </row>
    <row r="4" spans="1:4" x14ac:dyDescent="0.35">
      <c r="A4" s="16" t="s">
        <v>59</v>
      </c>
      <c r="B4" s="18">
        <v>3600</v>
      </c>
      <c r="C4" t="str">
        <f t="shared" si="0"/>
        <v>Advanced Excel</v>
      </c>
      <c r="D4">
        <f t="shared" si="0"/>
        <v>3600</v>
      </c>
    </row>
    <row r="5" spans="1:4" x14ac:dyDescent="0.35">
      <c r="A5" s="16" t="s">
        <v>48</v>
      </c>
      <c r="B5" s="18">
        <v>3600</v>
      </c>
      <c r="C5" t="str">
        <f t="shared" si="0"/>
        <v>Grand Total</v>
      </c>
      <c r="D5">
        <f t="shared" si="0"/>
        <v>3600</v>
      </c>
    </row>
    <row r="6" spans="1:4" x14ac:dyDescent="0.35">
      <c r="C6">
        <f t="shared" si="0"/>
        <v>0</v>
      </c>
      <c r="D6">
        <f t="shared" si="0"/>
        <v>0</v>
      </c>
    </row>
    <row r="7" spans="1:4" x14ac:dyDescent="0.35">
      <c r="C7">
        <f>A7</f>
        <v>0</v>
      </c>
      <c r="D7" t="e">
        <f>GETPIVOTDATA("No of students",$A$3,"Courses/ Name of the paper","DBMS-Projects")</f>
        <v>#REF!</v>
      </c>
    </row>
    <row r="11" spans="1:4" x14ac:dyDescent="0.35">
      <c r="A11">
        <f>GETPIVOTDATA("No of students",$A$3)</f>
        <v>3600</v>
      </c>
    </row>
    <row r="16" spans="1:4" x14ac:dyDescent="0.35">
      <c r="C16">
        <f>GETPIVOTDATA("No. of batches",$A$21)</f>
        <v>40</v>
      </c>
    </row>
    <row r="19" spans="1:3" x14ac:dyDescent="0.35">
      <c r="A19" s="15" t="s">
        <v>0</v>
      </c>
      <c r="B19" t="s">
        <v>50</v>
      </c>
    </row>
    <row r="21" spans="1:3" x14ac:dyDescent="0.35">
      <c r="A21" s="15" t="s">
        <v>47</v>
      </c>
      <c r="B21" t="s">
        <v>51</v>
      </c>
    </row>
    <row r="22" spans="1:3" x14ac:dyDescent="0.35">
      <c r="A22" s="16" t="s">
        <v>42</v>
      </c>
      <c r="B22" s="18">
        <v>3</v>
      </c>
    </row>
    <row r="23" spans="1:3" x14ac:dyDescent="0.35">
      <c r="A23" s="16" t="s">
        <v>16</v>
      </c>
      <c r="B23" s="18">
        <v>6</v>
      </c>
    </row>
    <row r="24" spans="1:3" x14ac:dyDescent="0.35">
      <c r="A24" s="16" t="s">
        <v>21</v>
      </c>
      <c r="B24" s="18">
        <v>7</v>
      </c>
    </row>
    <row r="25" spans="1:3" x14ac:dyDescent="0.35">
      <c r="A25" s="16" t="s">
        <v>38</v>
      </c>
      <c r="B25" s="18">
        <v>9</v>
      </c>
    </row>
    <row r="26" spans="1:3" x14ac:dyDescent="0.35">
      <c r="A26" s="16" t="s">
        <v>25</v>
      </c>
      <c r="B26" s="18">
        <v>8</v>
      </c>
    </row>
    <row r="27" spans="1:3" x14ac:dyDescent="0.35">
      <c r="A27" s="16" t="s">
        <v>33</v>
      </c>
      <c r="B27" s="18">
        <v>7</v>
      </c>
    </row>
    <row r="28" spans="1:3" x14ac:dyDescent="0.35">
      <c r="A28" s="16" t="s">
        <v>48</v>
      </c>
      <c r="B28" s="18">
        <v>40</v>
      </c>
      <c r="C28">
        <f>GETPIVOTDATA("No. of batches",$A$21)</f>
        <v>40</v>
      </c>
    </row>
    <row r="30" spans="1:3" x14ac:dyDescent="0.35">
      <c r="A30" s="15" t="s">
        <v>7</v>
      </c>
      <c r="B30" t="s">
        <v>50</v>
      </c>
    </row>
    <row r="32" spans="1:3" x14ac:dyDescent="0.35">
      <c r="A32" s="15" t="s">
        <v>51</v>
      </c>
      <c r="B32" s="15" t="s">
        <v>52</v>
      </c>
    </row>
    <row r="33" spans="1:3" x14ac:dyDescent="0.35">
      <c r="A33" s="15" t="s">
        <v>47</v>
      </c>
      <c r="B33" t="s">
        <v>60</v>
      </c>
      <c r="C33" t="s">
        <v>48</v>
      </c>
    </row>
    <row r="34" spans="1:3" x14ac:dyDescent="0.35">
      <c r="A34" s="16" t="s">
        <v>29</v>
      </c>
      <c r="B34" s="18">
        <v>10</v>
      </c>
      <c r="C34" s="18">
        <v>10</v>
      </c>
    </row>
    <row r="35" spans="1:3" x14ac:dyDescent="0.35">
      <c r="A35" s="16" t="s">
        <v>34</v>
      </c>
      <c r="B35" s="18">
        <v>2</v>
      </c>
      <c r="C35" s="18">
        <v>2</v>
      </c>
    </row>
    <row r="36" spans="1:3" x14ac:dyDescent="0.35">
      <c r="A36" s="16" t="s">
        <v>39</v>
      </c>
      <c r="B36" s="18">
        <v>13</v>
      </c>
      <c r="C36" s="18">
        <v>13</v>
      </c>
    </row>
    <row r="37" spans="1:3" x14ac:dyDescent="0.35">
      <c r="A37" s="16" t="s">
        <v>54</v>
      </c>
      <c r="B37" s="18">
        <v>4</v>
      </c>
      <c r="C37" s="18">
        <v>4</v>
      </c>
    </row>
    <row r="38" spans="1:3" x14ac:dyDescent="0.35">
      <c r="A38" s="16" t="s">
        <v>26</v>
      </c>
      <c r="B38" s="18">
        <v>5</v>
      </c>
      <c r="C38" s="18">
        <v>5</v>
      </c>
    </row>
    <row r="39" spans="1:3" x14ac:dyDescent="0.35">
      <c r="A39" s="16" t="s">
        <v>17</v>
      </c>
      <c r="B39" s="18">
        <v>6</v>
      </c>
      <c r="C39" s="18">
        <v>6</v>
      </c>
    </row>
    <row r="40" spans="1:3" x14ac:dyDescent="0.35">
      <c r="A40" s="16" t="s">
        <v>48</v>
      </c>
      <c r="B40" s="18">
        <v>40</v>
      </c>
      <c r="C40" s="18">
        <v>40</v>
      </c>
    </row>
    <row r="50" spans="1:2" x14ac:dyDescent="0.35">
      <c r="A50" s="15" t="s">
        <v>53</v>
      </c>
      <c r="B50" s="15" t="s">
        <v>52</v>
      </c>
    </row>
    <row r="51" spans="1:2" x14ac:dyDescent="0.35">
      <c r="A51" s="15" t="s">
        <v>47</v>
      </c>
      <c r="B51" t="s">
        <v>48</v>
      </c>
    </row>
    <row r="52" spans="1:2" x14ac:dyDescent="0.35">
      <c r="A52" s="16" t="s">
        <v>48</v>
      </c>
      <c r="B52" s="18"/>
    </row>
    <row r="59" spans="1:2" x14ac:dyDescent="0.35">
      <c r="A59" s="15" t="s">
        <v>0</v>
      </c>
      <c r="B59" t="s">
        <v>50</v>
      </c>
    </row>
    <row r="61" spans="1:2" x14ac:dyDescent="0.35">
      <c r="A61" s="15" t="s">
        <v>47</v>
      </c>
      <c r="B61" t="s">
        <v>49</v>
      </c>
    </row>
    <row r="62" spans="1:2" x14ac:dyDescent="0.35">
      <c r="A62" s="16" t="s">
        <v>42</v>
      </c>
      <c r="B62" s="18">
        <v>270</v>
      </c>
    </row>
    <row r="63" spans="1:2" x14ac:dyDescent="0.35">
      <c r="A63" s="16" t="s">
        <v>16</v>
      </c>
      <c r="B63" s="18">
        <v>540</v>
      </c>
    </row>
    <row r="64" spans="1:2" x14ac:dyDescent="0.35">
      <c r="A64" s="16" t="s">
        <v>21</v>
      </c>
      <c r="B64" s="18">
        <v>630</v>
      </c>
    </row>
    <row r="65" spans="1:4" x14ac:dyDescent="0.35">
      <c r="A65" s="16" t="s">
        <v>38</v>
      </c>
      <c r="B65" s="18">
        <v>810</v>
      </c>
    </row>
    <row r="66" spans="1:4" x14ac:dyDescent="0.35">
      <c r="A66" s="16" t="s">
        <v>25</v>
      </c>
      <c r="B66" s="18">
        <v>720</v>
      </c>
    </row>
    <row r="67" spans="1:4" x14ac:dyDescent="0.35">
      <c r="A67" s="16" t="s">
        <v>33</v>
      </c>
      <c r="B67" s="18">
        <v>630</v>
      </c>
    </row>
    <row r="68" spans="1:4" x14ac:dyDescent="0.35">
      <c r="A68" s="16" t="s">
        <v>48</v>
      </c>
      <c r="B68" s="18">
        <v>3600</v>
      </c>
    </row>
    <row r="77" spans="1:4" x14ac:dyDescent="0.35">
      <c r="A77" s="15" t="s">
        <v>51</v>
      </c>
      <c r="B77" s="15" t="s">
        <v>52</v>
      </c>
    </row>
    <row r="78" spans="1:4" x14ac:dyDescent="0.35">
      <c r="A78" s="15" t="s">
        <v>47</v>
      </c>
      <c r="B78" t="s">
        <v>57</v>
      </c>
      <c r="C78" t="s">
        <v>58</v>
      </c>
      <c r="D78" t="s">
        <v>48</v>
      </c>
    </row>
    <row r="79" spans="1:4" x14ac:dyDescent="0.35">
      <c r="A79" s="16" t="s">
        <v>55</v>
      </c>
      <c r="B79">
        <v>9</v>
      </c>
      <c r="C79">
        <v>17</v>
      </c>
      <c r="D79">
        <v>26</v>
      </c>
    </row>
    <row r="80" spans="1:4" x14ac:dyDescent="0.35">
      <c r="A80" s="17" t="s">
        <v>42</v>
      </c>
      <c r="B80">
        <v>2</v>
      </c>
      <c r="C80">
        <v>2</v>
      </c>
      <c r="D80">
        <v>4</v>
      </c>
    </row>
    <row r="81" spans="1:4" x14ac:dyDescent="0.35">
      <c r="A81" s="17" t="s">
        <v>16</v>
      </c>
      <c r="B81">
        <v>2</v>
      </c>
      <c r="C81">
        <v>4</v>
      </c>
      <c r="D81">
        <v>6</v>
      </c>
    </row>
    <row r="82" spans="1:4" x14ac:dyDescent="0.35">
      <c r="A82" s="17" t="s">
        <v>21</v>
      </c>
      <c r="B82">
        <v>2</v>
      </c>
      <c r="C82">
        <v>8</v>
      </c>
      <c r="D82">
        <v>10</v>
      </c>
    </row>
    <row r="83" spans="1:4" x14ac:dyDescent="0.35">
      <c r="A83" s="17" t="s">
        <v>38</v>
      </c>
      <c r="B83">
        <v>1</v>
      </c>
      <c r="D83">
        <v>1</v>
      </c>
    </row>
    <row r="84" spans="1:4" x14ac:dyDescent="0.35">
      <c r="A84" s="17" t="s">
        <v>25</v>
      </c>
      <c r="C84">
        <v>2</v>
      </c>
      <c r="D84">
        <v>2</v>
      </c>
    </row>
    <row r="85" spans="1:4" x14ac:dyDescent="0.35">
      <c r="A85" s="17" t="s">
        <v>33</v>
      </c>
      <c r="B85">
        <v>2</v>
      </c>
      <c r="C85">
        <v>1</v>
      </c>
      <c r="D85">
        <v>3</v>
      </c>
    </row>
    <row r="86" spans="1:4" x14ac:dyDescent="0.35">
      <c r="A86" s="16" t="s">
        <v>56</v>
      </c>
      <c r="B86">
        <v>16</v>
      </c>
      <c r="C86">
        <v>32</v>
      </c>
      <c r="D86">
        <v>48</v>
      </c>
    </row>
    <row r="87" spans="1:4" x14ac:dyDescent="0.35">
      <c r="A87" s="17" t="s">
        <v>42</v>
      </c>
      <c r="B87">
        <v>2</v>
      </c>
      <c r="C87">
        <v>2</v>
      </c>
      <c r="D87">
        <v>4</v>
      </c>
    </row>
    <row r="88" spans="1:4" x14ac:dyDescent="0.35">
      <c r="A88" s="17" t="s">
        <v>16</v>
      </c>
      <c r="B88">
        <v>3</v>
      </c>
      <c r="C88">
        <v>4</v>
      </c>
      <c r="D88">
        <v>7</v>
      </c>
    </row>
    <row r="89" spans="1:4" x14ac:dyDescent="0.35">
      <c r="A89" s="17" t="s">
        <v>21</v>
      </c>
      <c r="B89">
        <v>1</v>
      </c>
      <c r="C89">
        <v>6</v>
      </c>
      <c r="D89">
        <v>7</v>
      </c>
    </row>
    <row r="90" spans="1:4" x14ac:dyDescent="0.35">
      <c r="A90" s="17" t="s">
        <v>38</v>
      </c>
      <c r="B90">
        <v>2</v>
      </c>
      <c r="C90">
        <v>8</v>
      </c>
      <c r="D90">
        <v>10</v>
      </c>
    </row>
    <row r="91" spans="1:4" x14ac:dyDescent="0.35">
      <c r="A91" s="17" t="s">
        <v>25</v>
      </c>
      <c r="B91">
        <v>5</v>
      </c>
      <c r="C91">
        <v>6</v>
      </c>
      <c r="D91">
        <v>11</v>
      </c>
    </row>
    <row r="92" spans="1:4" x14ac:dyDescent="0.35">
      <c r="A92" s="17" t="s">
        <v>33</v>
      </c>
      <c r="B92">
        <v>3</v>
      </c>
      <c r="C92">
        <v>6</v>
      </c>
      <c r="D92">
        <v>9</v>
      </c>
    </row>
    <row r="93" spans="1:4" x14ac:dyDescent="0.35">
      <c r="A93" s="16" t="s">
        <v>48</v>
      </c>
      <c r="B93">
        <v>25</v>
      </c>
      <c r="C93">
        <v>49</v>
      </c>
      <c r="D93">
        <v>74</v>
      </c>
    </row>
    <row r="100" spans="1:2" x14ac:dyDescent="0.35">
      <c r="A100" s="15" t="s">
        <v>47</v>
      </c>
      <c r="B100" t="s">
        <v>51</v>
      </c>
    </row>
    <row r="101" spans="1:2" x14ac:dyDescent="0.35">
      <c r="A101" s="16" t="s">
        <v>32</v>
      </c>
      <c r="B101" s="18">
        <v>16</v>
      </c>
    </row>
    <row r="102" spans="1:2" x14ac:dyDescent="0.35">
      <c r="A102" s="16" t="s">
        <v>28</v>
      </c>
      <c r="B102" s="18">
        <v>16</v>
      </c>
    </row>
    <row r="103" spans="1:2" x14ac:dyDescent="0.35">
      <c r="A103" s="16" t="s">
        <v>30</v>
      </c>
      <c r="B103" s="18">
        <v>8</v>
      </c>
    </row>
    <row r="104" spans="1:2" x14ac:dyDescent="0.35">
      <c r="A104" s="16" t="s">
        <v>48</v>
      </c>
      <c r="B104" s="18">
        <v>40</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Dataset</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Chirag Thakkar1</dc:creator>
  <cp:lastModifiedBy>Shalini Kumari1</cp:lastModifiedBy>
  <dcterms:created xsi:type="dcterms:W3CDTF">2025-06-12T08:48:40Z</dcterms:created>
  <dcterms:modified xsi:type="dcterms:W3CDTF">2026-06-05T14:37:30Z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06d4b6f-0317-4b96-bd62-f6d252391bda_Enabled">
    <vt:lpwstr>true</vt:lpwstr>
  </property>
  <property fmtid="{D5CDD505-2E9C-101B-9397-08002B2CF9AE}" pid="3" name="MSIP_Label_506d4b6f-0317-4b96-bd62-f6d252391bda_SetDate">
    <vt:lpwstr>2026-06-04T14:12:07Z</vt:lpwstr>
  </property>
  <property fmtid="{D5CDD505-2E9C-101B-9397-08002B2CF9AE}" pid="4" name="MSIP_Label_506d4b6f-0317-4b96-bd62-f6d252391bda_Method">
    <vt:lpwstr>Standard</vt:lpwstr>
  </property>
  <property fmtid="{D5CDD505-2E9C-101B-9397-08002B2CF9AE}" pid="5" name="MSIP_Label_506d4b6f-0317-4b96-bd62-f6d252391bda_Name">
    <vt:lpwstr>General</vt:lpwstr>
  </property>
  <property fmtid="{D5CDD505-2E9C-101B-9397-08002B2CF9AE}" pid="6" name="MSIP_Label_506d4b6f-0317-4b96-bd62-f6d252391bda_SiteId">
    <vt:lpwstr>05b5fe2e-db2c-48e5-bfd8-778b75cb0f8e</vt:lpwstr>
  </property>
  <property fmtid="{D5CDD505-2E9C-101B-9397-08002B2CF9AE}" pid="7" name="MSIP_Label_506d4b6f-0317-4b96-bd62-f6d252391bda_ActionId">
    <vt:lpwstr>2e7e0400-7817-4ec1-b193-553f486cfd72</vt:lpwstr>
  </property>
  <property fmtid="{D5CDD505-2E9C-101B-9397-08002B2CF9AE}" pid="8" name="MSIP_Label_506d4b6f-0317-4b96-bd62-f6d252391bda_ContentBits">
    <vt:lpwstr>0</vt:lpwstr>
  </property>
  <property fmtid="{D5CDD505-2E9C-101B-9397-08002B2CF9AE}" pid="9" name="MSIP_Label_506d4b6f-0317-4b96-bd62-f6d252391bda_Tag">
    <vt:lpwstr>10, 3, 0, 1</vt:lpwstr>
  </property>
</Properties>
</file>